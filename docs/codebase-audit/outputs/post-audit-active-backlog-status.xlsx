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<sst xmlns="http://schemas.openxmlformats.org/spreadsheetml/2006/main" count="109018" uniqueCount="33487">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</sst>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Analysis'!$A$5:$A$14</c:f>
              <c:strCache>
                <c:ptCount val="10"/>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strCache>
            </c:strRef>
          </c:cat>
          <c:val>
            <c:numRef>
              <c:f>'Audit Analysis'!$B$5:$B$14</c:f>
              <c:numCache>
                <c:formatCode>#,##0</c:formatCode>
                <c:ptCount val="10"/>
                <c:pt idx="0">
                  <c:v>2650</c:v>
                </c:pt>
                <c:pt idx="1">
                  <c:v>1395</c:v>
                </c:pt>
                <c:pt idx="2">
                  <c:v>953</c:v>
                </c:pt>
                <c:pt idx="3">
                  <c:v>678</c:v>
                </c:pt>
                <c:pt idx="4">
                  <c:v>372</c:v>
                </c:pt>
                <c:pt idx="5">
                  <c:v>352</c:v>
                </c:pt>
                <c:pt idx="6">
                  <c:v>330</c:v>
                </c:pt>
                <c:pt idx="7">
                  <c:v>83</c:v>
                </c:pt>
                <c:pt idx="8">
                  <c:v>7</c:v>
                </c:pt>
                <c:pt idx="9">
                  <c:v>3</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1555</c:v>
                </c:pt>
                <c:pt idx="1">
                  <c:v>1446</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Analysis'!$T$5:$T$13</c:f>
              <c:numCache>
                <c:formatCode>mmm\ d\,\ yyyy</c:formatCode>
                <c:ptCount val="9"/>
                <c:pt idx="0">
                  <c:v>46179</c:v>
                </c:pt>
                <c:pt idx="1">
                  <c:v>46180</c:v>
                </c:pt>
                <c:pt idx="2">
                  <c:v>46181</c:v>
                </c:pt>
                <c:pt idx="3">
                  <c:v>46182</c:v>
                </c:pt>
                <c:pt idx="4">
                  <c:v>46186</c:v>
                </c:pt>
                <c:pt idx="5">
                  <c:v>46187</c:v>
                </c:pt>
                <c:pt idx="6">
                  <c:v>46188</c:v>
                </c:pt>
                <c:pt idx="7">
                  <c:v>46312</c:v>
                </c:pt>
                <c:pt idx="8">
                  <c:v>46313</c:v>
                </c:pt>
              </c:numCache>
            </c:numRef>
          </c:cat>
          <c:val>
            <c:numRef>
              <c:f>'Audit Analysis'!$U$5:$U$13</c:f>
              <c:numCache>
                <c:formatCode>#,##0</c:formatCode>
                <c:ptCount val="9"/>
                <c:pt idx="0">
                  <c:v>203</c:v>
                </c:pt>
                <c:pt idx="1">
                  <c:v>92</c:v>
                </c:pt>
                <c:pt idx="2">
                  <c:v>439</c:v>
                </c:pt>
                <c:pt idx="3">
                  <c:v>274</c:v>
                </c:pt>
                <c:pt idx="4">
                  <c:v>86</c:v>
                </c:pt>
                <c:pt idx="5">
                  <c:v>5170</c:v>
                </c:pt>
                <c:pt idx="6">
                  <c:v>549</c:v>
                </c:pt>
                <c:pt idx="7">
                  <c:v>6</c:v>
                </c:pt>
                <c:pt idx="8">
                  <c:v>4</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4" totalsRowShown="0" headerRowDxfId="0" dataDxfId="1">
  <autoFilter ref="A1:P6824"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4"/>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Data/Scripts/Custom/Government System; Data/Scripts/Custom/XMLSpawner</t>
        </is>
      </c>
      <c r="F6822" s="28" t="inlineStr">
        <is>
          <t xml:space="preserve">Open</t>
        </is>
      </c>
      <c r="G6822" s="28" t="inlineStr">
        <is>
          <t xml:space="preserve">Deferred</t>
        </is>
      </c>
      <c r="H6822" s="28" t="inlineStr">
        <is>
          <t xml:space="preserve">POST-SKILL-20261018</t>
        </is>
      </c>
      <c r="I6822" s="28" t="inlineStr">
        <is>
          <t xml:space="preserve">FIX-02</t>
        </is>
      </c>
      <c r="J6822" s="28" t="inlineStr">
        <is>
          <t xml:space="preserve">DeferredPolicy</t>
        </is>
      </c>
      <c r="K6822" s="28" t="inlineStr">
        <is>
          <t xml:space="preserve">Design transactional player grant/transfer policy before changing public grant primitives and automatic rewards.</t>
        </is>
      </c>
      <c r="L6822" s="28" t="inlineStr">
        <is>
          <t xml:space="preserve">docs/skill-cap-investigation/FIX-01-REPORT.md</t>
        </is>
      </c>
      <c r="M6822" s="28" t="inlineStr">
        <is>
          <t xml:space="preserve">docs/skill-cap-investigation/REPAIR_RECOMMENDATIONS.md; mutation-path-register.csv; PlayerMobile.SkillVerification; SkillCheck.Gain</t>
        </is>
      </c>
      <c r="N6822" s="28" t="inlineStr">
        <is>
          <t xml:space="preserve"/>
        </is>
      </c>
      <c r="O6822" s="29" t="inlineStr">
        <is>
          <t xml:space="preserve">2026-10-18</t>
        </is>
      </c>
      <c r="P6822" s="28" t="inlineStr">
        <is>
          <t xml:space="preserve">P1 separate follow-up. Choose reject/clamp/partial reward semantics and audited staff restoration exceptions; preserve NPC and deserialization behavior. No implementation authorized in FIX-01.</t>
        </is>
      </c>
    </row>
    <row r="6823" spans="1:16">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Data/Scripts/Mobiles/Base/PlayerMobile.cs; Data/Scripts/System/Misc/Settings.cs; Data/Scripts/Quests/Pagan/ApproachObsidian.cs</t>
        </is>
      </c>
      <c r="F6823" s="28" t="inlineStr">
        <is>
          <t xml:space="preserve">Open</t>
        </is>
      </c>
      <c r="G6823" s="28" t="inlineStr">
        <is>
          <t xml:space="preserve">Deferred</t>
        </is>
      </c>
      <c r="H6823" s="28" t="inlineStr">
        <is>
          <t xml:space="preserve">POST-SKILL-20261018</t>
        </is>
      </c>
      <c r="I6823" s="28" t="inlineStr">
        <is>
          <t xml:space="preserve">FIX-03</t>
        </is>
      </c>
      <c r="J6823" s="28" t="inlineStr">
        <is>
          <t xml:space="preserve">DeferredPolicy</t>
        </is>
      </c>
      <c r="K6823" s="28" t="inlineStr">
        <is>
          <t xml:space="preserve">Unify authoritative cap and origin eligibility rules; choose cap-reduction policy and make Ether completion idempotent.</t>
        </is>
      </c>
      <c r="L6823" s="28" t="inlineStr">
        <is>
          <t xml:space="preserve">docs/skill-cap-investigation/FIX-01-REPORT.md</t>
        </is>
      </c>
      <c r="M6823" s="28" t="inlineStr">
        <is>
          <t xml:space="preserve">docs/skill-cap-investigation/REPAIR_RECOMMENDATIONS.md; mutation-path-register.csv; PlayerMobile.SkillVerification; SkillCheck.Gain</t>
        </is>
      </c>
      <c r="N6823" s="28" t="inlineStr">
        <is>
          <t xml:space="preserve"/>
        </is>
      </c>
      <c r="O6823" s="29" t="inlineStr">
        <is>
          <t xml:space="preserve">2026-10-18</t>
        </is>
      </c>
      <c r="P6823" s="28" t="inlineStr">
        <is>
          <t xml:space="preserve">P1 separate follow-up. Existing load-time component recomputation and origin reset can change caps; preserving profession means existing profession-based effects persist. Requires cap-reduction/migration policy, no silent deletion.</t>
        </is>
      </c>
    </row>
    <row r="6824" spans="1:16">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Data/System/Source/Skills.cs; Data/Scripts/System/Skills/SkillCheck.cs; Data/Scripts/Custom/XMLSpawner</t>
        </is>
      </c>
      <c r="F6824" s="28" t="inlineStr">
        <is>
          <t xml:space="preserve">Open</t>
        </is>
      </c>
      <c r="G6824" s="28" t="inlineStr">
        <is>
          <t xml:space="preserve">Deferred</t>
        </is>
      </c>
      <c r="H6824" s="28" t="inlineStr">
        <is>
          <t xml:space="preserve">POST-SKILL-20261018</t>
        </is>
      </c>
      <c r="I6824" s="28" t="inlineStr">
        <is>
          <t xml:space="preserve">FIX-04</t>
        </is>
      </c>
      <c r="J6824" s="28" t="inlineStr">
        <is>
          <t xml:space="preserve">DeferredPolicy</t>
        </is>
      </c>
      <c r="K6824" s="28" t="inlineStr">
        <is>
          <t xml:space="preserve">Protect real-total accounting and player identity at grant boundaries; restrict inappropriate XML writes.</t>
        </is>
      </c>
      <c r="L6824" s="28" t="inlineStr">
        <is>
          <t xml:space="preserve">docs/skill-cap-investigation/FIX-01-REPORT.md</t>
        </is>
      </c>
      <c r="M6824" s="28" t="inlineStr">
        <is>
          <t xml:space="preserve">docs/skill-cap-investigation/REPAIR_RECOMMENDATIONS.md; mutation-path-register.csv; PlayerMobile.SkillVerification; SkillCheck.Gain</t>
        </is>
      </c>
      <c r="N6824" s="28" t="inlineStr">
        <is>
          <t xml:space="preserve"/>
        </is>
      </c>
      <c r="O6824" s="29" t="inlineStr">
        <is>
          <t xml:space="preserve">2026-10-18</t>
        </is>
      </c>
      <c r="P6824" s="28" t="inlineStr">
        <is>
          <t xml:space="preserve">P1 separate follow-up. False cache and Player=false still bypass ordinary gain guards; FIX-01 diagnoses without repairing them. Choose shared policy with FIX-02; preserve saved layout.</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B3" s="20" t="inlineStr">
        <is>
          <t xml:space="preserve">Source snapshot - 6,819 backlog records - Updated October 17, 2026</t>
        </is>
      </c>
      <c r="C3" s="20"/>
      <c r="D3" s="20"/>
      <c r="E3" s="20"/>
      <c r="F3" s="20"/>
      <c r="G3" s="20"/>
      <c r="H3" s="20"/>
      <c r="I3" s="20"/>
      <c r="J3" s="20"/>
      <c r="K3" s="20"/>
      <c r="L3" s="20"/>
      <c r="M3" s="20"/>
      <c r="N3" s="20"/>
      <c r="O3" s="20"/>
      <c r="P3" s="20"/>
      <c r="Q3" s="1"/>
      <c r="B3" s="14" t="inlineStr">
        <is>
          <t xml:space="preserve">2026-10-18 review candidate | FIX-01 locally verified and uncommitted; FIX-02 through FIX-04 deferred. No deployment claim.</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COUNTA('post-audit-active-backlog-statu'!$A$2:$A$6824)</f>
        <v>6819</v>
      </c>
      <c r="C6" s="22"/>
      <c r="D6" s="22"/>
      <c r="E6" s="1"/>
      <c r="F6" s="22">
        <f>COUNTIF('post-audit-active-backlog-statu'!$G$2:$G$6824,"Fixed")</f>
        <v>952</v>
      </c>
      <c r="F6" s="14">
        <v>953</v>
      </c>
      <c r="G6" s="22"/>
      <c r="H6" s="22"/>
      <c r="I6" s="1"/>
      <c r="J6" s="22">
        <f>COUNTIF('post-audit-active-backlog-statu'!$G$2:$G$6824,"ReviewedNoChange")+COUNTIF('post-audit-active-backlog-statu'!$G$2:$G$6824,"SafeNoChange")+COUNTIF('post-audit-active-backlog-statu'!$G$2:$G$6824,"PolicyResolvedNoChange")</f>
        <v>3700</v>
      </c>
      <c r="J6" s="14">
        <v>3700</v>
      </c>
      <c r="K6" s="22"/>
      <c r="L6" s="22"/>
      <c r="M6" s="1"/>
      <c r="N6" s="23">
        <f>COUNTIF('post-audit-active-backlog-statu'!$G$2:$G$6824,"BlocksOnlyThisDomain")</f>
        <v>7</v>
      </c>
      <c r="N6" s="14">
        <v>7</v>
      </c>
      <c r="O6" s="23"/>
      <c r="P6" s="23"/>
      <c r="Q6" s="1"/>
      <c r="B6" s="14">
        <v>6823</v>
      </c>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54.3% of all records</v>
      </c>
      <c r="J8" s="14" t="inlineStr">
        <is>
          <t xml:space="preserve">54.2% of all records</t>
        </is>
      </c>
      <c r="K8" s="10"/>
      <c r="L8" s="10"/>
      <c r="M8" s="2"/>
      <c r="N8" s="10" t="str">
        <f>TEXT(N6/B6,"0.0%")&amp;" • scope-limited"</f>
        <v>0.1% • scope-limited</v>
      </c>
      <c r="O8" s="10"/>
      <c r="P8" s="10"/>
      <c r="Q8" s="1"/>
      <c r="F8" s="14" t="inlineStr">
        <is>
          <t xml:space="preserve">14.0% of all records</t>
        </is>
      </c>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c r="B10" s="14" t="inlineStr">
        <is>
          <t xml:space="preserve">CONCENTRATION  |  Runtime hooks + Save compatibility account for 44.0% of records; prioritize these review surfaces.</t>
        </is>
      </c>
    </row>
    <row r="11" spans="1:17" ht="18.95" customHeight="1" x14ac:dyDescent="0.25">
      <c r="A11" s="1"/>
      <c r="B11" s="14" t="str">
        <f>"OUTCOMES  |  "&amp;TEXT(J6/B6,"0.0%")&amp;" are explicit no-change outcomes; "&amp;TEXT(F6/B6,"0.0%")&amp;" are Fixed. These are dispositions, not a closure rate."</f>
        <v>OUTCOMES  |  54.3% are explicit no-change outcomes; 14.0% are Fixed. These are dispositions, not a closure rate.</v>
      </c>
      <c r="C11" s="14"/>
      <c r="D11" s="14"/>
      <c r="E11" s="14"/>
      <c r="F11" s="14"/>
      <c r="G11" s="14"/>
      <c r="H11" s="14"/>
      <c r="I11" s="14"/>
      <c r="J11" s="14"/>
      <c r="K11" s="14"/>
      <c r="L11" s="14"/>
      <c r="M11" s="14"/>
      <c r="N11" s="14"/>
      <c r="O11" s="14"/>
      <c r="P11" s="14"/>
      <c r="Q11" s="1"/>
      <c r="B11" s="14" t="inlineStr">
        <is>
          <t xml:space="preserve">OUTCOMES  |  54.2% are explicit no-change outcomes; 14.0% are Fixed. These are dispositions, not a closure rate.</t>
        </is>
      </c>
    </row>
    <row r="12" spans="1:17" ht="18.95" customHeight="1" x14ac:dyDescent="0.25">
      <c r="A12" s="1"/>
      <c r="B12" s="14" t="str">
        <f>"APPROVAL GATES  |  "&amp;COUNTIF('post-audit-active-backlog-statu'!$J$2:$J$6824,"BlockedForReorganizationOnly")&amp;" move/reorganization + "&amp;COUNTIF('post-audit-active-backlog-statu'!$J$2:$J$6824,"BlockedForSerializerMigrationOnly")&amp;"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Analysis'!U5:U13,'Audit Analysis'!T5:T13,"&lt;"&amp;DATE(2026,10,1)),"#,##0")&amp;" records last updated before October; latest source date "&amp;TEXT(MAX('Audit Analysis'!T5:T13),"mmm d, yyyy")&amp;"."</f>
        <v>SNAPSHOT TIMING  |  6,813 records last updated before October; latest source date Oct 17, 2026.</v>
      </c>
      <c r="C13" s="14"/>
      <c r="D13" s="14"/>
      <c r="E13" s="14"/>
      <c r="F13" s="14"/>
      <c r="G13" s="14"/>
      <c r="H13" s="14"/>
      <c r="I13" s="14"/>
      <c r="J13" s="14"/>
      <c r="K13" s="14"/>
      <c r="L13" s="14"/>
      <c r="M13" s="14"/>
      <c r="N13" s="14"/>
      <c r="O13" s="14"/>
      <c r="P13" s="14"/>
      <c r="Q13" s="1"/>
      <c r="B13" s="14" t="inlineStr">
        <is>
          <t xml:space="preserve">SNAPSHOT TIMING  |  6,813 records last updated before October; latest source date Oct 18, 2026.</t>
        </is>
      </c>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B67" s="9" t="inlineStr">
        <is>
          <t xml:space="preserve">Live formulas cover source rows 2-6820. Four verified repairs added; source committed, live activation pending. Extend/re-sort summary lists after new categories or systems.</t>
        </is>
      </c>
      <c r="C67" s="9"/>
      <c r="D67" s="9"/>
      <c r="E67" s="9"/>
      <c r="F67" s="9"/>
      <c r="G67" s="9"/>
      <c r="H67" s="9"/>
      <c r="I67" s="9"/>
      <c r="J67" s="9"/>
      <c r="K67" s="9"/>
      <c r="L67" s="9"/>
      <c r="M67" s="9"/>
      <c r="N67" s="9"/>
      <c r="O67" s="9"/>
      <c r="P67" s="9"/>
      <c r="Q67" s="1"/>
      <c r="B67" s="14" t="inlineStr">
        <is>
          <t xml:space="preserve">Source: post-audit-active-backlog-status.csv | 6,823 records. FIX-01 report records runtime tests and real-client/Qwen limitations.</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A2" s="26" t="inlineStr">
        <is>
          <t xml:space="preserve">Scope: source rows 2-6820. Includes four new post-audit findings; summaries recalculate for edits within this range.</t>
        </is>
      </c>
      <c r="B2" s="26"/>
      <c r="C2" s="26"/>
      <c r="D2" s="26"/>
      <c r="E2" s="26"/>
      <c r="F2" s="26"/>
      <c r="G2" s="26"/>
      <c r="H2" s="26"/>
      <c r="I2" s="26"/>
      <c r="J2" s="26"/>
      <c r="K2" s="26"/>
      <c r="L2" s="1"/>
      <c r="M2" s="1"/>
      <c r="N2" s="1"/>
      <c r="O2" s="1"/>
      <c r="P2" s="1"/>
      <c r="Q2" s="1"/>
      <c r="R2" s="1"/>
      <c r="S2" s="1"/>
      <c r="T2" s="1"/>
      <c r="U2" s="1"/>
      <c r="V2" s="1"/>
      <c r="A2" s="4" t="inlineStr">
        <is>
          <t xml:space="preserve">2026-10-18 | Native formulas and charts preserved; source ranges, Deferred status and date summaries extended.</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A5" s="4" t="s">
        <v>39</v>
      </c>
      <c r="B5" s="6">
        <f>COUNTIF('post-audit-active-backlog-statu'!$G$2:$G$6824,A5)</f>
        <v>2650</v>
      </c>
      <c r="C5" s="8">
        <f>B5/'Audit Dashboard'!$B$6</f>
        <v>0.38839220284332404</v>
      </c>
      <c r="D5" s="4" t="s">
        <v>33446</v>
      </c>
      <c r="E5" s="1"/>
      <c r="F5" s="4" t="s">
        <v>1684</v>
      </c>
      <c r="G5" s="6">
        <f>COUNTIF('post-audit-active-backlog-statu'!$C$2:$C$6824,F5)</f>
        <v>1555</v>
      </c>
      <c r="H5" s="6">
        <f>COUNTIFS('post-audit-active-backlog-statu'!$C$2:$C$6824,F5,'post-audit-active-backlog-statu'!$G$2:$G$6824,"Fixed")</f>
        <v>249</v>
      </c>
      <c r="I5" s="6">
        <f>COUNTIFS('post-audit-active-backlog-statu'!$C$2:$C$6824,F5,'post-audit-active-backlog-statu'!$G$2:$G$6824,"ReviewedNoChange")+COUNTIFS('post-audit-active-backlog-statu'!$C$2:$C$6824,F5,'post-audit-active-backlog-statu'!$G$2:$G$6824,"SafeNoChange")+COUNTIFS('post-audit-active-backlog-statu'!$C$2:$C$6824,F5,'post-audit-active-backlog-statu'!$G$2:$G$6824,"PolicyResolvedNoChange")</f>
        <v>1284</v>
      </c>
      <c r="J5" s="6">
        <f>COUNTIFS('post-audit-active-backlog-statu'!$C$2:$C$6824,F5,'post-audit-active-backlog-statu'!$G$2:$G$6824,"BlocksOnlyThisDomain")</f>
        <v>0</v>
      </c>
      <c r="K5" s="8">
        <f t="shared" ref="K5:K21" si="0">H5/G5</f>
        <v>0.16012861736334405</v>
      </c>
      <c r="L5" s="1"/>
      <c r="M5" s="4" t="s">
        <v>1204</v>
      </c>
      <c r="N5" s="6">
        <f>COUNTIF('post-audit-active-backlog-statu'!$D$2:$D$6824,M5)</f>
        <v>999</v>
      </c>
      <c r="O5" s="6">
        <f>COUNTIFS('post-audit-active-backlog-statu'!$D$2:$D$6824,M5,'post-audit-active-backlog-statu'!$G$2:$G$6824,"Fixed")</f>
        <v>8</v>
      </c>
      <c r="P5" s="6">
        <f>COUNTIFS('post-audit-active-backlog-statu'!$D$2:$D$6824,M5,'post-audit-active-backlog-statu'!$G$2:$G$6824,"ReviewedNoChange")+COUNTIFS('post-audit-active-backlog-statu'!$D$2:$D$6824,M5,'post-audit-active-backlog-statu'!$G$2:$G$6824,"SafeNoChange")+COUNTIFS('post-audit-active-backlog-statu'!$D$2:$D$6824,M5,'post-audit-active-backlog-statu'!$G$2:$G$6824,"PolicyResolvedNoChange")</f>
        <v>216</v>
      </c>
      <c r="Q5" s="6">
        <f>COUNTIFS('post-audit-active-backlog-statu'!$D$2:$D$6824,M5,'post-audit-active-backlog-statu'!$G$2:$G$6824,"BlocksOnlyThisDomain")</f>
        <v>0</v>
      </c>
      <c r="R5" s="8">
        <f t="shared" ref="R5:R68" si="1">O5/N5</f>
        <v>0.008008008008008008</v>
      </c>
      <c r="S5" s="1"/>
      <c r="T5" s="5">
        <v>46179</v>
      </c>
      <c r="T5" s="5">
        <v>46179</v>
      </c>
      <c r="U5" s="6">
        <f>COUNTIF('post-audit-active-backlog-statu'!$O$2:$O$6824,TEXT(T5,"yyyy-mm-dd")&amp;"*")+COUNTIFS('post-audit-active-backlog-statu'!$O$2:$O$6824,"&gt;="&amp;T5,'post-audit-active-backlog-statu'!$O$2:$O$6824,"&lt;"&amp;T5+1)</f>
        <v>203</v>
      </c>
      <c r="V5" s="1"/>
      <c r="A5" s="4" t="inlineStr">
        <is>
          <t xml:space="preserve">ReviewedNoChange</t>
        </is>
      </c>
    </row>
    <row r="6" spans="1:22" ht="20.100000000000001" customHeight="1" x14ac:dyDescent="0.25">
      <c r="A6" s="4" t="s">
        <v>207</v>
      </c>
      <c r="B6" s="6">
        <f>COUNTIF('post-audit-active-backlog-statu'!$G$2:$G$6824,A6)</f>
        <v>1395</v>
      </c>
      <c r="C6" s="8">
        <f>B6/'Audit Dashboard'!$B$6</f>
        <v>0.20445551810054227</v>
      </c>
      <c r="D6" s="4" t="s">
        <v>33447</v>
      </c>
      <c r="E6" s="1"/>
      <c r="F6" s="4" t="s">
        <v>132</v>
      </c>
      <c r="G6" s="6">
        <f>COUNTIF('post-audit-active-backlog-statu'!$C$2:$C$6824,F6)</f>
        <v>1446</v>
      </c>
      <c r="H6" s="6">
        <f>COUNTIFS('post-audit-active-backlog-statu'!$C$2:$C$6824,F6,'post-audit-active-backlog-statu'!$G$2:$G$6824,"Fixed")</f>
        <v>0</v>
      </c>
      <c r="I6" s="6">
        <f>COUNTIFS('post-audit-active-backlog-statu'!$C$2:$C$6824,F6,'post-audit-active-backlog-statu'!$G$2:$G$6824,"ReviewedNoChange")+COUNTIFS('post-audit-active-backlog-statu'!$C$2:$C$6824,F6,'post-audit-active-backlog-statu'!$G$2:$G$6824,"SafeNoChange")+COUNTIFS('post-audit-active-backlog-statu'!$C$2:$C$6824,F6,'post-audit-active-backlog-statu'!$G$2:$G$6824,"PolicyResolvedNoChange")</f>
        <v>500</v>
      </c>
      <c r="J6" s="6">
        <f>COUNTIFS('post-audit-active-backlog-statu'!$C$2:$C$6824,F6,'post-audit-active-backlog-statu'!$G$2:$G$6824,"BlocksOnlyThisDomain")</f>
        <v>1</v>
      </c>
      <c r="K6" s="8">
        <f t="shared" si="0"/>
        <v>0.0</v>
      </c>
      <c r="L6" s="1"/>
      <c r="M6" s="4" t="s">
        <v>4101</v>
      </c>
      <c r="N6" s="6">
        <f>COUNTIF('post-audit-active-backlog-statu'!$D$2:$D$6824,M6)</f>
        <v>424</v>
      </c>
      <c r="O6" s="6">
        <f>COUNTIFS('post-audit-active-backlog-statu'!$D$2:$D$6824,M6,'post-audit-active-backlog-statu'!$G$2:$G$6824,"Fixed")</f>
        <v>21</v>
      </c>
      <c r="P6" s="6">
        <f>COUNTIFS('post-audit-active-backlog-statu'!$D$2:$D$6824,M6,'post-audit-active-backlog-statu'!$G$2:$G$6824,"ReviewedNoChange")+COUNTIFS('post-audit-active-backlog-statu'!$D$2:$D$6824,M6,'post-audit-active-backlog-statu'!$G$2:$G$6824,"SafeNoChange")+COUNTIFS('post-audit-active-backlog-statu'!$D$2:$D$6824,M6,'post-audit-active-backlog-statu'!$G$2:$G$6824,"PolicyResolvedNoChange")</f>
        <v>366</v>
      </c>
      <c r="Q6" s="6">
        <f>COUNTIFS('post-audit-active-backlog-statu'!$D$2:$D$6824,M6,'post-audit-active-backlog-statu'!$G$2:$G$6824,"BlocksOnlyThisDomain")</f>
        <v>0</v>
      </c>
      <c r="R6" s="8">
        <f t="shared" si="1"/>
        <v>0.049528301886792456</v>
      </c>
      <c r="S6" s="1"/>
      <c r="T6" s="5">
        <v>46180</v>
      </c>
      <c r="T6" s="5">
        <v>46180</v>
      </c>
      <c r="U6" s="6">
        <f>COUNTIF('post-audit-active-backlog-statu'!$O$2:$O$6824,TEXT(T6,"yyyy-mm-dd")&amp;"*")+COUNTIFS('post-audit-active-backlog-statu'!$O$2:$O$6824,"&gt;="&amp;T6,'post-audit-active-backlog-statu'!$O$2:$O$6824,"&lt;"&amp;T6+1)</f>
        <v>92</v>
      </c>
      <c r="V6" s="1"/>
      <c r="A6" s="4" t="inlineStr">
        <is>
          <t xml:space="preserve">IntentionalLegacy</t>
        </is>
      </c>
    </row>
    <row r="7" spans="1:22" ht="20.100000000000001" customHeight="1" x14ac:dyDescent="0.25">
      <c r="A7" s="4" t="s">
        <v>22</v>
      </c>
      <c r="B7" s="6">
        <f>COUNTIF('post-audit-active-backlog-statu'!$G$2:$G$6824,A7)</f>
        <v>953</v>
      </c>
      <c r="C7" s="8">
        <f>B7/'Audit Dashboard'!$B$6</f>
        <v>0.13967462992818408</v>
      </c>
      <c r="D7" s="4" t="s">
        <v>33448</v>
      </c>
      <c r="E7" s="1"/>
      <c r="F7" s="4" t="s">
        <v>4491</v>
      </c>
      <c r="G7" s="6">
        <f>COUNTIF('post-audit-active-backlog-statu'!$C$2:$C$6824,F7)</f>
        <v>938</v>
      </c>
      <c r="H7" s="6">
        <f>COUNTIFS('post-audit-active-backlog-statu'!$C$2:$C$6824,F7,'post-audit-active-backlog-statu'!$G$2:$G$6824,"Fixed")</f>
        <v>111</v>
      </c>
      <c r="I7" s="6">
        <f>COUNTIFS('post-audit-active-backlog-statu'!$C$2:$C$6824,F7,'post-audit-active-backlog-statu'!$G$2:$G$6824,"ReviewedNoChange")+COUNTIFS('post-audit-active-backlog-statu'!$C$2:$C$6824,F7,'post-audit-active-backlog-statu'!$G$2:$G$6824,"SafeNoChange")+COUNTIFS('post-audit-active-backlog-statu'!$C$2:$C$6824,F7,'post-audit-active-backlog-statu'!$G$2:$G$6824,"PolicyResolvedNoChange")</f>
        <v>820</v>
      </c>
      <c r="J7" s="6">
        <f>COUNTIFS('post-audit-active-backlog-statu'!$C$2:$C$6824,F7,'post-audit-active-backlog-statu'!$G$2:$G$6824,"BlocksOnlyThisDomain")</f>
        <v>0</v>
      </c>
      <c r="K7" s="8">
        <f t="shared" si="0"/>
        <v>0.11833688699360341</v>
      </c>
      <c r="L7" s="1"/>
      <c r="M7" s="4" t="s">
        <v>6467</v>
      </c>
      <c r="N7" s="6">
        <f>COUNTIF('post-audit-active-backlog-statu'!$D$2:$D$6824,M7)</f>
        <v>355</v>
      </c>
      <c r="O7" s="6">
        <f>COUNTIFS('post-audit-active-backlog-statu'!$D$2:$D$6824,M7,'post-audit-active-backlog-statu'!$G$2:$G$6824,"Fixed")</f>
        <v>23</v>
      </c>
      <c r="P7" s="6">
        <f>COUNTIFS('post-audit-active-backlog-statu'!$D$2:$D$6824,M7,'post-audit-active-backlog-statu'!$G$2:$G$6824,"ReviewedNoChange")+COUNTIFS('post-audit-active-backlog-statu'!$D$2:$D$6824,M7,'post-audit-active-backlog-statu'!$G$2:$G$6824,"SafeNoChange")+COUNTIFS('post-audit-active-backlog-statu'!$D$2:$D$6824,M7,'post-audit-active-backlog-statu'!$G$2:$G$6824,"PolicyResolvedNoChange")</f>
        <v>322</v>
      </c>
      <c r="Q7" s="6">
        <f>COUNTIFS('post-audit-active-backlog-statu'!$D$2:$D$6824,M7,'post-audit-active-backlog-statu'!$G$2:$G$6824,"BlocksOnlyThisDomain")</f>
        <v>0</v>
      </c>
      <c r="R7" s="8">
        <f t="shared" si="1"/>
        <v>0.0647887323943662</v>
      </c>
      <c r="S7" s="1"/>
      <c r="T7" s="5">
        <v>46181</v>
      </c>
      <c r="T7" s="5">
        <v>46181</v>
      </c>
      <c r="U7" s="6">
        <f>COUNTIF('post-audit-active-backlog-statu'!$O$2:$O$6824,TEXT(T7,"yyyy-mm-dd")&amp;"*")+COUNTIFS('post-audit-active-backlog-statu'!$O$2:$O$6824,"&gt;="&amp;T7,'post-audit-active-backlog-statu'!$O$2:$O$6824,"&lt;"&amp;T7+1)</f>
        <v>439</v>
      </c>
      <c r="V7" s="1"/>
      <c r="A7" s="4" t="inlineStr">
        <is>
          <t xml:space="preserve">Fixed</t>
        </is>
      </c>
    </row>
    <row r="8" spans="1:22" ht="20.100000000000001" customHeight="1" x14ac:dyDescent="0.25">
      <c r="A8" s="4" t="s">
        <v>149</v>
      </c>
      <c r="B8" s="6">
        <f>COUNTIF('post-audit-active-backlog-statu'!$G$2:$G$6824,A8)</f>
        <v>678</v>
      </c>
      <c r="C8" s="8">
        <f>B8/'Audit Dashboard'!$B$6</f>
        <v>0.09936977868972592</v>
      </c>
      <c r="D8" s="4" t="s">
        <v>33449</v>
      </c>
      <c r="E8" s="1"/>
      <c r="F8" s="4" t="s">
        <v>29063</v>
      </c>
      <c r="G8" s="6">
        <f>COUNTIF('post-audit-active-backlog-statu'!$C$2:$C$6824,F8)</f>
        <v>659</v>
      </c>
      <c r="H8" s="6">
        <f>COUNTIFS('post-audit-active-backlog-statu'!$C$2:$C$6824,F8,'post-audit-active-backlog-statu'!$G$2:$G$6824,"Fixed")</f>
        <v>0</v>
      </c>
      <c r="I8" s="6">
        <f>COUNTIFS('post-audit-active-backlog-statu'!$C$2:$C$6824,F8,'post-audit-active-backlog-statu'!$G$2:$G$6824,"ReviewedNoChange")+COUNTIFS('post-audit-active-backlog-statu'!$C$2:$C$6824,F8,'post-audit-active-backlog-statu'!$G$2:$G$6824,"SafeNoChange")+COUNTIFS('post-audit-active-backlog-statu'!$C$2:$C$6824,F8,'post-audit-active-backlog-statu'!$G$2:$G$6824,"PolicyResolvedNoChange")</f>
        <v>0</v>
      </c>
      <c r="J8" s="6">
        <f>COUNTIFS('post-audit-active-backlog-statu'!$C$2:$C$6824,F8,'post-audit-active-backlog-statu'!$G$2:$G$6824,"BlocksOnlyThisDomain")</f>
        <v>0</v>
      </c>
      <c r="K8" s="8">
        <f t="shared" si="0"/>
        <v>0.0</v>
      </c>
      <c r="L8" s="1"/>
      <c r="M8" s="4" t="s">
        <v>19</v>
      </c>
      <c r="N8" s="6">
        <f>COUNTIF('post-audit-active-backlog-statu'!$D$2:$D$6824,M8)</f>
        <v>283</v>
      </c>
      <c r="O8" s="6">
        <f>COUNTIFS('post-audit-active-backlog-statu'!$D$2:$D$6824,M8,'post-audit-active-backlog-statu'!$G$2:$G$6824,"Fixed")</f>
        <v>72</v>
      </c>
      <c r="P8" s="6">
        <f>COUNTIFS('post-audit-active-backlog-statu'!$D$2:$D$6824,M8,'post-audit-active-backlog-statu'!$G$2:$G$6824,"ReviewedNoChange")+COUNTIFS('post-audit-active-backlog-statu'!$D$2:$D$6824,M8,'post-audit-active-backlog-statu'!$G$2:$G$6824,"SafeNoChange")+COUNTIFS('post-audit-active-backlog-statu'!$D$2:$D$6824,M8,'post-audit-active-backlog-statu'!$G$2:$G$6824,"PolicyResolvedNoChange")</f>
        <v>183</v>
      </c>
      <c r="Q8" s="6">
        <f>COUNTIFS('post-audit-active-backlog-statu'!$D$2:$D$6824,M8,'post-audit-active-backlog-statu'!$G$2:$G$6824,"BlocksOnlyThisDomain")</f>
        <v>1</v>
      </c>
      <c r="R8" s="8">
        <f t="shared" si="1"/>
        <v>0.254416961130742</v>
      </c>
      <c r="S8" s="1"/>
      <c r="T8" s="5">
        <v>46182</v>
      </c>
      <c r="T8" s="5">
        <v>46182</v>
      </c>
      <c r="U8" s="6">
        <f>COUNTIF('post-audit-active-backlog-statu'!$O$2:$O$6824,TEXT(T8,"yyyy-mm-dd")&amp;"*")+COUNTIFS('post-audit-active-backlog-statu'!$O$2:$O$6824,"&gt;="&amp;T8,'post-audit-active-backlog-statu'!$O$2:$O$6824,"&lt;"&amp;T8+1)</f>
        <v>274</v>
      </c>
      <c r="V8" s="1"/>
      <c r="A8" s="4" t="inlineStr">
        <is>
          <t xml:space="preserve">SafeNoChange</t>
        </is>
      </c>
    </row>
    <row r="9" spans="1:22" ht="20.100000000000001" customHeight="1" x14ac:dyDescent="0.25">
      <c r="A9" s="4" t="s">
        <v>25396</v>
      </c>
      <c r="B9" s="6">
        <f>COUNTIF('post-audit-active-backlog-statu'!$G$2:$G$6824,A9)</f>
        <v>372</v>
      </c>
      <c r="C9" s="8">
        <f>B9/'Audit Dashboard'!$B$6</f>
        <v>0.05452147149347794</v>
      </c>
      <c r="D9" s="4" t="s">
        <v>33450</v>
      </c>
      <c r="E9" s="1"/>
      <c r="F9" s="4" t="s">
        <v>25143</v>
      </c>
      <c r="G9" s="6">
        <f>COUNTIF('post-audit-active-backlog-statu'!$C$2:$C$6824,F9)</f>
        <v>499</v>
      </c>
      <c r="H9" s="6">
        <f>COUNTIFS('post-audit-active-backlog-statu'!$C$2:$C$6824,F9,'post-audit-active-backlog-statu'!$G$2:$G$6824,"Fixed")</f>
        <v>0</v>
      </c>
      <c r="I9" s="6">
        <f>COUNTIFS('post-audit-active-backlog-statu'!$C$2:$C$6824,F9,'post-audit-active-backlog-statu'!$G$2:$G$6824,"ReviewedNoChange")+COUNTIFS('post-audit-active-backlog-statu'!$C$2:$C$6824,F9,'post-audit-active-backlog-statu'!$G$2:$G$6824,"SafeNoChange")+COUNTIFS('post-audit-active-backlog-statu'!$C$2:$C$6824,F9,'post-audit-active-backlog-statu'!$G$2:$G$6824,"PolicyResolvedNoChange")</f>
        <v>484</v>
      </c>
      <c r="J9" s="6">
        <f>COUNTIFS('post-audit-active-backlog-statu'!$C$2:$C$6824,F9,'post-audit-active-backlog-statu'!$G$2:$G$6824,"BlocksOnlyThisDomain")</f>
        <v>0</v>
      </c>
      <c r="K9" s="8">
        <f t="shared" si="0"/>
        <v>0.0</v>
      </c>
      <c r="L9" s="1"/>
      <c r="M9" s="4" t="s">
        <v>1271</v>
      </c>
      <c r="N9" s="6">
        <f>COUNTIF('post-audit-active-backlog-statu'!$D$2:$D$6824,M9)</f>
        <v>282</v>
      </c>
      <c r="O9" s="6">
        <f>COUNTIFS('post-audit-active-backlog-statu'!$D$2:$D$6824,M9,'post-audit-active-backlog-statu'!$G$2:$G$6824,"Fixed")</f>
        <v>5</v>
      </c>
      <c r="P9" s="6">
        <f>COUNTIFS('post-audit-active-backlog-statu'!$D$2:$D$6824,M9,'post-audit-active-backlog-statu'!$G$2:$G$6824,"ReviewedNoChange")+COUNTIFS('post-audit-active-backlog-statu'!$D$2:$D$6824,M9,'post-audit-active-backlog-statu'!$G$2:$G$6824,"SafeNoChange")+COUNTIFS('post-audit-active-backlog-statu'!$D$2:$D$6824,M9,'post-audit-active-backlog-statu'!$G$2:$G$6824,"PolicyResolvedNoChange")</f>
        <v>72</v>
      </c>
      <c r="Q9" s="6">
        <f>COUNTIFS('post-audit-active-backlog-statu'!$D$2:$D$6824,M9,'post-audit-active-backlog-statu'!$G$2:$G$6824,"BlocksOnlyThisDomain")</f>
        <v>0</v>
      </c>
      <c r="R9" s="8">
        <f t="shared" si="1"/>
        <v>0.01773049645390071</v>
      </c>
      <c r="S9" s="1"/>
      <c r="T9" s="5">
        <v>46186</v>
      </c>
      <c r="T9" s="5">
        <v>46186</v>
      </c>
      <c r="U9" s="6">
        <f>COUNTIF('post-audit-active-backlog-statu'!$O$2:$O$6824,TEXT(T9,"yyyy-mm-dd")&amp;"*")+COUNTIFS('post-audit-active-backlog-statu'!$O$2:$O$6824,"&gt;="&amp;T9,'post-audit-active-backlog-statu'!$O$2:$O$6824,"&lt;"&amp;T9+1)</f>
        <v>86</v>
      </c>
      <c r="V9" s="1"/>
      <c r="A9" s="4" t="inlineStr">
        <is>
          <t xml:space="preserve">PolicyResolvedNoChange</t>
        </is>
      </c>
    </row>
    <row r="10" spans="1:22" ht="20.100000000000001" customHeight="1" x14ac:dyDescent="0.25">
      <c r="A10" s="4" t="s">
        <v>7084</v>
      </c>
      <c r="B10" s="6">
        <f>COUNTIF('post-audit-active-backlog-statu'!$G$2:$G$6824,A10)</f>
        <v>352</v>
      </c>
      <c r="C10" s="8">
        <f>B10/'Audit Dashboard'!$B$6</f>
        <v>0.05159020958522644</v>
      </c>
      <c r="D10" s="4" t="s">
        <v>33451</v>
      </c>
      <c r="E10" s="1"/>
      <c r="F10" s="4" t="s">
        <v>1827</v>
      </c>
      <c r="G10" s="6">
        <f>COUNTIF('post-audit-active-backlog-statu'!$C$2:$C$6824,F10)</f>
        <v>408</v>
      </c>
      <c r="H10" s="6">
        <f>COUNTIFS('post-audit-active-backlog-statu'!$C$2:$C$6824,F10,'post-audit-active-backlog-statu'!$G$2:$G$6824,"Fixed")</f>
        <v>406</v>
      </c>
      <c r="I10" s="6">
        <f>COUNTIFS('post-audit-active-backlog-statu'!$C$2:$C$6824,F10,'post-audit-active-backlog-statu'!$G$2:$G$6824,"ReviewedNoChange")+COUNTIFS('post-audit-active-backlog-statu'!$C$2:$C$6824,F10,'post-audit-active-backlog-statu'!$G$2:$G$6824,"SafeNoChange")+COUNTIFS('post-audit-active-backlog-statu'!$C$2:$C$6824,F10,'post-audit-active-backlog-statu'!$G$2:$G$6824,"PolicyResolvedNoChange")</f>
        <v>0</v>
      </c>
      <c r="J10" s="6">
        <f>COUNTIFS('post-audit-active-backlog-statu'!$C$2:$C$6824,F10,'post-audit-active-backlog-statu'!$G$2:$G$6824,"BlocksOnlyThisDomain")</f>
        <v>0</v>
      </c>
      <c r="K10" s="8">
        <f t="shared" si="0"/>
        <v>0.9950980392156863</v>
      </c>
      <c r="L10" s="1"/>
      <c r="M10" s="4" t="s">
        <v>101</v>
      </c>
      <c r="N10" s="6">
        <f>COUNTIF('post-audit-active-backlog-statu'!$D$2:$D$6824,M10)</f>
        <v>278</v>
      </c>
      <c r="O10" s="6">
        <f>COUNTIFS('post-audit-active-backlog-statu'!$D$2:$D$6824,M10,'post-audit-active-backlog-statu'!$G$2:$G$6824,"Fixed")</f>
        <v>69</v>
      </c>
      <c r="P10" s="6">
        <f>COUNTIFS('post-audit-active-backlog-statu'!$D$2:$D$6824,M10,'post-audit-active-backlog-statu'!$G$2:$G$6824,"ReviewedNoChange")+COUNTIFS('post-audit-active-backlog-statu'!$D$2:$D$6824,M10,'post-audit-active-backlog-statu'!$G$2:$G$6824,"SafeNoChange")+COUNTIFS('post-audit-active-backlog-statu'!$D$2:$D$6824,M10,'post-audit-active-backlog-statu'!$G$2:$G$6824,"PolicyResolvedNoChange")</f>
        <v>65</v>
      </c>
      <c r="Q10" s="6">
        <f>COUNTIFS('post-audit-active-backlog-statu'!$D$2:$D$6824,M10,'post-audit-active-backlog-statu'!$G$2:$G$6824,"BlocksOnlyThisDomain")</f>
        <v>0</v>
      </c>
      <c r="R10" s="8">
        <f t="shared" si="1"/>
        <v>0.24820143884892087</v>
      </c>
      <c r="S10" s="1"/>
      <c r="T10" s="5">
        <v>46187</v>
      </c>
      <c r="T10" s="5">
        <v>46187</v>
      </c>
      <c r="U10" s="6">
        <f>COUNTIF('post-audit-active-backlog-statu'!$O$2:$O$6824,TEXT(T10,"yyyy-mm-dd")&amp;"*")+COUNTIFS('post-audit-active-backlog-statu'!$O$2:$O$6824,"&gt;="&amp;T10,'post-audit-active-backlog-statu'!$O$2:$O$6824,"&lt;"&amp;T10+1)</f>
        <v>5170</v>
      </c>
      <c r="V10" s="1"/>
      <c r="A10" s="4" t="inlineStr">
        <is>
          <t xml:space="preserve">Documented</t>
        </is>
      </c>
    </row>
    <row r="11" spans="1:22" ht="20.100000000000001" customHeight="1" x14ac:dyDescent="0.25">
      <c r="A11" s="4" t="s">
        <v>135</v>
      </c>
      <c r="B11" s="6">
        <f>COUNTIF('post-audit-active-backlog-statu'!$G$2:$G$6824,A11)</f>
        <v>330</v>
      </c>
      <c r="C11" s="8">
        <f>B11/'Audit Dashboard'!$B$6</f>
        <v>0.04836582148614979</v>
      </c>
      <c r="D11" s="4" t="s">
        <v>33452</v>
      </c>
      <c r="E11" s="1"/>
      <c r="F11" s="4" t="s">
        <v>1779</v>
      </c>
      <c r="G11" s="6">
        <f>COUNTIF('post-audit-active-backlog-statu'!$C$2:$C$6824,F11)</f>
        <v>394</v>
      </c>
      <c r="H11" s="6">
        <f>COUNTIFS('post-audit-active-backlog-statu'!$C$2:$C$6824,F11,'post-audit-active-backlog-statu'!$G$2:$G$6824,"Fixed")</f>
        <v>0</v>
      </c>
      <c r="I11" s="6">
        <f>COUNTIFS('post-audit-active-backlog-statu'!$C$2:$C$6824,F11,'post-audit-active-backlog-statu'!$G$2:$G$6824,"ReviewedNoChange")+COUNTIFS('post-audit-active-backlog-statu'!$C$2:$C$6824,F11,'post-audit-active-backlog-statu'!$G$2:$G$6824,"SafeNoChange")+COUNTIFS('post-audit-active-backlog-statu'!$C$2:$C$6824,F11,'post-audit-active-backlog-statu'!$G$2:$G$6824,"PolicyResolvedNoChange")</f>
        <v>392</v>
      </c>
      <c r="J11" s="6">
        <f>COUNTIFS('post-audit-active-backlog-statu'!$C$2:$C$6824,F11,'post-audit-active-backlog-statu'!$G$2:$G$6824,"BlocksOnlyThisDomain")</f>
        <v>0</v>
      </c>
      <c r="K11" s="8">
        <f t="shared" si="0"/>
        <v>0.0</v>
      </c>
      <c r="L11" s="1"/>
      <c r="M11" s="4" t="s">
        <v>120</v>
      </c>
      <c r="N11" s="6">
        <f>COUNTIF('post-audit-active-backlog-statu'!$D$2:$D$6824,M11)</f>
        <v>259</v>
      </c>
      <c r="O11" s="6">
        <f>COUNTIFS('post-audit-active-backlog-statu'!$D$2:$D$6824,M11,'post-audit-active-backlog-statu'!$G$2:$G$6824,"Fixed")</f>
        <v>11</v>
      </c>
      <c r="P11" s="6">
        <f>COUNTIFS('post-audit-active-backlog-statu'!$D$2:$D$6824,M11,'post-audit-active-backlog-statu'!$G$2:$G$6824,"ReviewedNoChange")+COUNTIFS('post-audit-active-backlog-statu'!$D$2:$D$6824,M11,'post-audit-active-backlog-statu'!$G$2:$G$6824,"SafeNoChange")+COUNTIFS('post-audit-active-backlog-statu'!$D$2:$D$6824,M11,'post-audit-active-backlog-statu'!$G$2:$G$6824,"PolicyResolvedNoChange")</f>
        <v>220</v>
      </c>
      <c r="Q11" s="6">
        <f>COUNTIFS('post-audit-active-backlog-statu'!$D$2:$D$6824,M11,'post-audit-active-backlog-statu'!$G$2:$G$6824,"BlocksOnlyThisDomain")</f>
        <v>0</v>
      </c>
      <c r="R11" s="8">
        <f t="shared" si="1"/>
        <v>0.04247104247104247</v>
      </c>
      <c r="S11" s="1"/>
      <c r="T11" s="5">
        <v>46188</v>
      </c>
      <c r="T11" s="5">
        <v>46188</v>
      </c>
      <c r="U11" s="6">
        <f>COUNTIF('post-audit-active-backlog-statu'!$O$2:$O$6824,TEXT(T11,"yyyy-mm-dd")&amp;"*")+COUNTIFS('post-audit-active-backlog-statu'!$O$2:$O$6824,"&gt;="&amp;T11,'post-audit-active-backlog-statu'!$O$2:$O$6824,"&lt;"&amp;T11+1)</f>
        <v>549</v>
      </c>
      <c r="V11" s="1"/>
      <c r="A11" s="4" t="inlineStr">
        <is>
          <t xml:space="preserve">FalsePositive</t>
        </is>
      </c>
    </row>
    <row r="12" spans="1:22" ht="20.100000000000001" customHeight="1" x14ac:dyDescent="0.25">
      <c r="A12" s="4" t="s">
        <v>6309</v>
      </c>
      <c r="B12" s="6">
        <f>COUNTIF('post-audit-active-backlog-statu'!$G$2:$G$6824,A12)</f>
        <v>83</v>
      </c>
      <c r="C12" s="8">
        <f>B12/'Audit Dashboard'!$B$6</f>
        <v>0.012164736919243734</v>
      </c>
      <c r="D12" s="4" t="s">
        <v>33453</v>
      </c>
      <c r="E12" s="1"/>
      <c r="F12" s="4" t="s">
        <v>7082</v>
      </c>
      <c r="G12" s="6">
        <f>COUNTIF('post-audit-active-backlog-statu'!$C$2:$C$6824,F12)</f>
        <v>232</v>
      </c>
      <c r="H12" s="6">
        <f>COUNTIFS('post-audit-active-backlog-statu'!$C$2:$C$6824,F12,'post-audit-active-backlog-statu'!$G$2:$G$6824,"Fixed")</f>
        <v>0</v>
      </c>
      <c r="I12" s="6">
        <f>COUNTIFS('post-audit-active-backlog-statu'!$C$2:$C$6824,F12,'post-audit-active-backlog-statu'!$G$2:$G$6824,"ReviewedNoChange")+COUNTIFS('post-audit-active-backlog-statu'!$C$2:$C$6824,F12,'post-audit-active-backlog-statu'!$G$2:$G$6824,"SafeNoChange")+COUNTIFS('post-audit-active-backlog-statu'!$C$2:$C$6824,F12,'post-audit-active-backlog-statu'!$G$2:$G$6824,"PolicyResolvedNoChange")</f>
        <v>0</v>
      </c>
      <c r="J12" s="6">
        <f>COUNTIFS('post-audit-active-backlog-statu'!$C$2:$C$6824,F12,'post-audit-active-backlog-statu'!$G$2:$G$6824,"BlocksOnlyThisDomain")</f>
        <v>0</v>
      </c>
      <c r="K12" s="8">
        <f t="shared" si="0"/>
        <v>0.0</v>
      </c>
      <c r="L12" s="1"/>
      <c r="M12" s="4" t="s">
        <v>7132</v>
      </c>
      <c r="N12" s="6">
        <f>COUNTIF('post-audit-active-backlog-statu'!$D$2:$D$6824,M12)</f>
        <v>250</v>
      </c>
      <c r="O12" s="6">
        <f>COUNTIFS('post-audit-active-backlog-statu'!$D$2:$D$6824,M12,'post-audit-active-backlog-statu'!$G$2:$G$6824,"Fixed")</f>
        <v>8</v>
      </c>
      <c r="P12" s="6">
        <f>COUNTIFS('post-audit-active-backlog-statu'!$D$2:$D$6824,M12,'post-audit-active-backlog-statu'!$G$2:$G$6824,"ReviewedNoChange")+COUNTIFS('post-audit-active-backlog-statu'!$D$2:$D$6824,M12,'post-audit-active-backlog-statu'!$G$2:$G$6824,"SafeNoChange")+COUNTIFS('post-audit-active-backlog-statu'!$D$2:$D$6824,M12,'post-audit-active-backlog-statu'!$G$2:$G$6824,"PolicyResolvedNoChange")</f>
        <v>237</v>
      </c>
      <c r="Q12" s="6">
        <f>COUNTIFS('post-audit-active-backlog-statu'!$D$2:$D$6824,M12,'post-audit-active-backlog-statu'!$G$2:$G$6824,"BlocksOnlyThisDomain")</f>
        <v>1</v>
      </c>
      <c r="R12" s="8">
        <f t="shared" si="1"/>
        <v>0.032</v>
      </c>
      <c r="S12" s="1"/>
      <c r="T12" s="5">
        <v>46312</v>
      </c>
      <c r="T12" s="5">
        <v>46312</v>
      </c>
      <c r="U12" s="6">
        <f>COUNTIF('post-audit-active-backlog-statu'!$O$2:$O$6824,TEXT(T12,"yyyy-mm-dd")&amp;"*")+COUNTIFS('post-audit-active-backlog-statu'!$O$2:$O$6824,"&gt;="&amp;T12,'post-audit-active-backlog-statu'!$O$2:$O$6824,"&lt;"&amp;T12+1)</f>
        <v>6</v>
      </c>
      <c r="V12" s="1"/>
      <c r="A12" s="4" t="inlineStr">
        <is>
          <t xml:space="preserve">AcceptedFence</t>
        </is>
      </c>
    </row>
    <row r="13" spans="1:22" ht="20.100000000000001" customHeight="1" x14ac:dyDescent="0.25">
      <c r="A13" s="4" t="s">
        <v>9478</v>
      </c>
      <c r="B13" s="6">
        <f>COUNTIF('post-audit-active-backlog-statu'!$G$2:$G$6824,A13)</f>
        <v>7</v>
      </c>
      <c r="C13" s="8">
        <f>B13/'Audit Dashboard'!$B$6</f>
        <v>0.0010259416678880258</v>
      </c>
      <c r="D13" s="4" t="s">
        <v>33454</v>
      </c>
      <c r="E13" s="1"/>
      <c r="F13" s="4" t="s">
        <v>8356</v>
      </c>
      <c r="G13" s="6">
        <f>COUNTIF('post-audit-active-backlog-statu'!$C$2:$C$6824,F13)</f>
        <v>158</v>
      </c>
      <c r="H13" s="6">
        <f>COUNTIFS('post-audit-active-backlog-statu'!$C$2:$C$6824,F13,'post-audit-active-backlog-statu'!$G$2:$G$6824,"Fixed")</f>
        <v>25</v>
      </c>
      <c r="I13" s="6">
        <f>COUNTIFS('post-audit-active-backlog-statu'!$C$2:$C$6824,F13,'post-audit-active-backlog-statu'!$G$2:$G$6824,"ReviewedNoChange")+COUNTIFS('post-audit-active-backlog-statu'!$C$2:$C$6824,F13,'post-audit-active-backlog-statu'!$G$2:$G$6824,"SafeNoChange")+COUNTIFS('post-audit-active-backlog-statu'!$C$2:$C$6824,F13,'post-audit-active-backlog-statu'!$G$2:$G$6824,"PolicyResolvedNoChange")</f>
        <v>7</v>
      </c>
      <c r="J13" s="6">
        <f>COUNTIFS('post-audit-active-backlog-statu'!$C$2:$C$6824,F13,'post-audit-active-backlog-statu'!$G$2:$G$6824,"BlocksOnlyThisDomain")</f>
        <v>0</v>
      </c>
      <c r="K13" s="8">
        <f t="shared" si="0"/>
        <v>0.15822784810126583</v>
      </c>
      <c r="L13" s="1"/>
      <c r="M13" s="4" t="s">
        <v>6454</v>
      </c>
      <c r="N13" s="6">
        <f>COUNTIF('post-audit-active-backlog-statu'!$D$2:$D$6824,M13)</f>
        <v>212</v>
      </c>
      <c r="O13" s="6">
        <f>COUNTIFS('post-audit-active-backlog-statu'!$D$2:$D$6824,M13,'post-audit-active-backlog-statu'!$G$2:$G$6824,"Fixed")</f>
        <v>1</v>
      </c>
      <c r="P13" s="6">
        <f>COUNTIFS('post-audit-active-backlog-statu'!$D$2:$D$6824,M13,'post-audit-active-backlog-statu'!$G$2:$G$6824,"ReviewedNoChange")+COUNTIFS('post-audit-active-backlog-statu'!$D$2:$D$6824,M13,'post-audit-active-backlog-statu'!$G$2:$G$6824,"SafeNoChange")+COUNTIFS('post-audit-active-backlog-statu'!$D$2:$D$6824,M13,'post-audit-active-backlog-statu'!$G$2:$G$6824,"PolicyResolvedNoChange")</f>
        <v>200</v>
      </c>
      <c r="Q13" s="6">
        <f>COUNTIFS('post-audit-active-backlog-statu'!$D$2:$D$6824,M13,'post-audit-active-backlog-statu'!$G$2:$G$6824,"BlocksOnlyThisDomain")</f>
        <v>1</v>
      </c>
      <c r="R13" s="8">
        <f t="shared" si="1"/>
        <v>0.0047169811320754715</v>
      </c>
      <c r="S13" s="1"/>
      <c r="T13" s="1"/>
      <c r="U13" s="1"/>
      <c r="V13" s="1"/>
      <c r="A13" s="4" t="inlineStr">
        <is>
          <t xml:space="preserve">BlocksOnlyThisDomain</t>
        </is>
      </c>
      <c r="T13" s="5">
        <v>46313</v>
      </c>
      <c r="U13" s="6">
        <f>COUNTIF('post-audit-active-backlog-statu'!$O$2:$O$6824,TEXT(T13,"yyyy-mm-dd")&amp;"*")+COUNTIFS('post-audit-active-backlog-statu'!$O$2:$O$6824,"&gt;="&amp;T13,'post-audit-active-backlog-statu'!$O$2:$O$6824,"&lt;"&amp;T13+1)</f>
        <v>4</v>
      </c>
    </row>
    <row r="14" spans="1:22" ht="20.100000000000001" customHeight="1" x14ac:dyDescent="0.25">
      <c r="A14" s="1"/>
      <c r="B14" s="1"/>
      <c r="C14" s="1"/>
      <c r="D14" s="1"/>
      <c r="E14" s="1"/>
      <c r="F14" s="4" t="s">
        <v>666</v>
      </c>
      <c r="B14" s="6">
        <f>COUNTIF('post-audit-active-backlog-statu'!$G$2:$G$6824,A14)</f>
        <v>3</v>
      </c>
      <c r="C14" s="8">
        <f>B14/'Audit Dashboard'!B6</f>
        <v>0.00043968928623772536</v>
      </c>
      <c r="G14" s="6">
        <f>COUNTIF('post-audit-active-backlog-statu'!$C$2:$C$6824,F14)</f>
        <v>153</v>
      </c>
      <c r="H14" s="6">
        <f>COUNTIFS('post-audit-active-backlog-statu'!$C$2:$C$6824,F14,'post-audit-active-backlog-statu'!$G$2:$G$6824,"Fixed")</f>
        <v>4</v>
      </c>
      <c r="I14" s="6">
        <f>COUNTIFS('post-audit-active-backlog-statu'!$C$2:$C$6824,F14,'post-audit-active-backlog-statu'!$G$2:$G$6824,"ReviewedNoChange")+COUNTIFS('post-audit-active-backlog-statu'!$C$2:$C$6824,F14,'post-audit-active-backlog-statu'!$G$2:$G$6824,"SafeNoChange")+COUNTIFS('post-audit-active-backlog-statu'!$C$2:$C$6824,F14,'post-audit-active-backlog-statu'!$G$2:$G$6824,"PolicyResolvedNoChange")</f>
        <v>101</v>
      </c>
      <c r="J14" s="6">
        <f>COUNTIFS('post-audit-active-backlog-statu'!$C$2:$C$6824,F14,'post-audit-active-backlog-statu'!$G$2:$G$6824,"BlocksOnlyThisDomain")</f>
        <v>0</v>
      </c>
      <c r="K14" s="8">
        <f t="shared" si="0"/>
        <v>0.026143790849673203</v>
      </c>
      <c r="L14" s="1"/>
      <c r="M14" s="4" t="s">
        <v>69</v>
      </c>
      <c r="N14" s="6">
        <f>COUNTIF('post-audit-active-backlog-statu'!$D$2:$D$6824,M14)</f>
        <v>207</v>
      </c>
      <c r="O14" s="6">
        <f>COUNTIFS('post-audit-active-backlog-statu'!$D$2:$D$6824,M14,'post-audit-active-backlog-statu'!$G$2:$G$6824,"Fixed")</f>
        <v>32</v>
      </c>
      <c r="P14" s="6">
        <f>COUNTIFS('post-audit-active-backlog-statu'!$D$2:$D$6824,M14,'post-audit-active-backlog-statu'!$G$2:$G$6824,"ReviewedNoChange")+COUNTIFS('post-audit-active-backlog-statu'!$D$2:$D$6824,M14,'post-audit-active-backlog-statu'!$G$2:$G$6824,"SafeNoChange")+COUNTIFS('post-audit-active-backlog-statu'!$D$2:$D$6824,M14,'post-audit-active-backlog-statu'!$G$2:$G$6824,"PolicyResolvedNoChange")</f>
        <v>127</v>
      </c>
      <c r="Q14" s="6">
        <f>COUNTIFS('post-audit-active-backlog-statu'!$D$2:$D$6824,M14,'post-audit-active-backlog-statu'!$G$2:$G$6824,"BlocksOnlyThisDomain")</f>
        <v>0</v>
      </c>
      <c r="R14" s="8">
        <f t="shared" si="1"/>
        <v>0.15458937198067632</v>
      </c>
      <c r="S14" s="1"/>
      <c r="T14" s="1"/>
      <c r="U14" s="1"/>
      <c r="V14" s="1"/>
      <c r="A14" s="4" t="inlineStr">
        <is>
          <t xml:space="preserve">Deferred</t>
        </is>
      </c>
    </row>
    <row r="15" spans="1:22" ht="20.100000000000001" customHeight="1" x14ac:dyDescent="0.25">
      <c r="A15" s="1"/>
      <c r="B15" s="1"/>
      <c r="C15" s="1"/>
      <c r="D15" s="1"/>
      <c r="E15" s="1"/>
      <c r="F15" s="4" t="s">
        <v>6446</v>
      </c>
      <c r="G15" s="6">
        <f>COUNTIF('post-audit-active-backlog-statu'!$C$2:$C$6824,F15)</f>
        <v>124</v>
      </c>
      <c r="H15" s="6">
        <f>COUNTIFS('post-audit-active-backlog-statu'!$C$2:$C$6824,F15,'post-audit-active-backlog-statu'!$G$2:$G$6824,"Fixed")</f>
        <v>86</v>
      </c>
      <c r="I15" s="6">
        <f>COUNTIFS('post-audit-active-backlog-statu'!$C$2:$C$6824,F15,'post-audit-active-backlog-statu'!$G$2:$G$6824,"ReviewedNoChange")+COUNTIFS('post-audit-active-backlog-statu'!$C$2:$C$6824,F15,'post-audit-active-backlog-statu'!$G$2:$G$6824,"SafeNoChange")+COUNTIFS('post-audit-active-backlog-statu'!$C$2:$C$6824,F15,'post-audit-active-backlog-statu'!$G$2:$G$6824,"PolicyResolvedNoChange")</f>
        <v>6</v>
      </c>
      <c r="J15" s="6">
        <f>COUNTIFS('post-audit-active-backlog-statu'!$C$2:$C$6824,F15,'post-audit-active-backlog-statu'!$G$2:$G$6824,"BlocksOnlyThisDomain")</f>
        <v>0</v>
      </c>
      <c r="K15" s="8">
        <f t="shared" si="0"/>
        <v>0.6935483870967742</v>
      </c>
      <c r="L15" s="1"/>
      <c r="M15" s="4" t="s">
        <v>5328</v>
      </c>
      <c r="N15" s="6">
        <f>COUNTIF('post-audit-active-backlog-statu'!$D$2:$D$6824,M15)</f>
        <v>186</v>
      </c>
      <c r="O15" s="6">
        <f>COUNTIFS('post-audit-active-backlog-statu'!$D$2:$D$6824,M15,'post-audit-active-backlog-statu'!$G$2:$G$6824,"Fixed")</f>
        <v>18</v>
      </c>
      <c r="P15" s="6">
        <f>COUNTIFS('post-audit-active-backlog-statu'!$D$2:$D$6824,M15,'post-audit-active-backlog-statu'!$G$2:$G$6824,"ReviewedNoChange")+COUNTIFS('post-audit-active-backlog-statu'!$D$2:$D$6824,M15,'post-audit-active-backlog-statu'!$G$2:$G$6824,"SafeNoChange")+COUNTIFS('post-audit-active-backlog-statu'!$D$2:$D$6824,M15,'post-audit-active-backlog-statu'!$G$2:$G$6824,"PolicyResolvedNoChange")</f>
        <v>167</v>
      </c>
      <c r="Q15" s="6">
        <f>COUNTIFS('post-audit-active-backlog-statu'!$D$2:$D$6824,M15,'post-audit-active-backlog-statu'!$G$2:$G$6824,"BlocksOnlyThisDomain")</f>
        <v>0</v>
      </c>
      <c r="R15" s="8">
        <f t="shared" si="1"/>
        <v>0.0967741935483871</v>
      </c>
      <c r="S15" s="1"/>
      <c r="T15" s="1"/>
      <c r="U15" s="1"/>
      <c r="V15" s="1"/>
    </row>
    <row r="16" spans="1:22" ht="20.100000000000001" customHeight="1" x14ac:dyDescent="0.25">
      <c r="A16" s="1"/>
      <c r="B16" s="1"/>
      <c r="C16" s="1"/>
      <c r="D16" s="1"/>
      <c r="E16" s="1"/>
      <c r="F16" s="4" t="s">
        <v>25239</v>
      </c>
      <c r="G16" s="6">
        <f>COUNTIF('post-audit-active-backlog-statu'!$C$2:$C$6824,F16)</f>
        <v>112</v>
      </c>
      <c r="H16" s="6">
        <f>COUNTIFS('post-audit-active-backlog-statu'!$C$2:$C$6824,F16,'post-audit-active-backlog-statu'!$G$2:$G$6824,"Fixed")</f>
        <v>0</v>
      </c>
      <c r="I16" s="6">
        <f>COUNTIFS('post-audit-active-backlog-statu'!$C$2:$C$6824,F16,'post-audit-active-backlog-statu'!$G$2:$G$6824,"ReviewedNoChange")+COUNTIFS('post-audit-active-backlog-statu'!$C$2:$C$6824,F16,'post-audit-active-backlog-statu'!$G$2:$G$6824,"SafeNoChange")+COUNTIFS('post-audit-active-backlog-statu'!$C$2:$C$6824,F16,'post-audit-active-backlog-statu'!$G$2:$G$6824,"PolicyResolvedNoChange")</f>
        <v>88</v>
      </c>
      <c r="J16" s="6">
        <f>COUNTIFS('post-audit-active-backlog-statu'!$C$2:$C$6824,F16,'post-audit-active-backlog-statu'!$G$2:$G$6824,"BlocksOnlyThisDomain")</f>
        <v>0</v>
      </c>
      <c r="K16" s="8">
        <f t="shared" si="0"/>
        <v>0.0</v>
      </c>
      <c r="L16" s="1"/>
      <c r="M16" s="4" t="s">
        <v>5979</v>
      </c>
      <c r="N16" s="6">
        <f>COUNTIF('post-audit-active-backlog-statu'!$D$2:$D$6824,M16)</f>
        <v>180</v>
      </c>
      <c r="O16" s="6">
        <f>COUNTIFS('post-audit-active-backlog-statu'!$D$2:$D$6824,M16,'post-audit-active-backlog-statu'!$G$2:$G$6824,"Fixed")</f>
        <v>0</v>
      </c>
      <c r="P16" s="6">
        <f>COUNTIFS('post-audit-active-backlog-statu'!$D$2:$D$6824,M16,'post-audit-active-backlog-statu'!$G$2:$G$6824,"ReviewedNoChange")+COUNTIFS('post-audit-active-backlog-statu'!$D$2:$D$6824,M16,'post-audit-active-backlog-statu'!$G$2:$G$6824,"SafeNoChange")+COUNTIFS('post-audit-active-backlog-statu'!$D$2:$D$6824,M16,'post-audit-active-backlog-statu'!$G$2:$G$6824,"PolicyResolvedNoChange")</f>
        <v>102</v>
      </c>
      <c r="Q16" s="6">
        <f>COUNTIFS('post-audit-active-backlog-statu'!$D$2:$D$6824,M16,'post-audit-active-backlog-statu'!$G$2:$G$6824,"BlocksOnlyThisDomain")</f>
        <v>0</v>
      </c>
      <c r="R16" s="8">
        <f t="shared" si="1"/>
        <v>0.0</v>
      </c>
      <c r="S16" s="1"/>
      <c r="T16" s="1"/>
      <c r="U16" s="1"/>
      <c r="V16" s="1"/>
    </row>
    <row r="17" spans="1:22" ht="20.100000000000001" customHeight="1" x14ac:dyDescent="0.25">
      <c r="A17" s="1"/>
      <c r="B17" s="1"/>
      <c r="C17" s="1"/>
      <c r="D17" s="1"/>
      <c r="E17" s="1"/>
      <c r="F17" s="4" t="s">
        <v>9214</v>
      </c>
      <c r="G17" s="6">
        <f>COUNTIF('post-audit-active-backlog-statu'!$C$2:$C$6824,F17)</f>
        <v>61</v>
      </c>
      <c r="H17" s="6">
        <f>COUNTIFS('post-audit-active-backlog-statu'!$C$2:$C$6824,F17,'post-audit-active-backlog-statu'!$G$2:$G$6824,"Fixed")</f>
        <v>61</v>
      </c>
      <c r="I17" s="6">
        <f>COUNTIFS('post-audit-active-backlog-statu'!$C$2:$C$6824,F17,'post-audit-active-backlog-statu'!$G$2:$G$6824,"ReviewedNoChange")+COUNTIFS('post-audit-active-backlog-statu'!$C$2:$C$6824,F17,'post-audit-active-backlog-statu'!$G$2:$G$6824,"SafeNoChange")+COUNTIFS('post-audit-active-backlog-statu'!$C$2:$C$6824,F17,'post-audit-active-backlog-statu'!$G$2:$G$6824,"PolicyResolvedNoChange")</f>
        <v>0</v>
      </c>
      <c r="J17" s="6">
        <f>COUNTIFS('post-audit-active-backlog-statu'!$C$2:$C$6824,F17,'post-audit-active-backlog-statu'!$G$2:$G$6824,"BlocksOnlyThisDomain")</f>
        <v>0</v>
      </c>
      <c r="K17" s="8">
        <f t="shared" si="0"/>
        <v>1.0</v>
      </c>
      <c r="L17" s="1"/>
      <c r="M17" s="4" t="s">
        <v>5372</v>
      </c>
      <c r="N17" s="6">
        <f>COUNTIF('post-audit-active-backlog-statu'!$D$2:$D$6824,M17)</f>
        <v>151</v>
      </c>
      <c r="O17" s="6">
        <f>COUNTIFS('post-audit-active-backlog-statu'!$D$2:$D$6824,M17,'post-audit-active-backlog-statu'!$G$2:$G$6824,"Fixed")</f>
        <v>4</v>
      </c>
      <c r="P17" s="6">
        <f>COUNTIFS('post-audit-active-backlog-statu'!$D$2:$D$6824,M17,'post-audit-active-backlog-statu'!$G$2:$G$6824,"ReviewedNoChange")+COUNTIFS('post-audit-active-backlog-statu'!$D$2:$D$6824,M17,'post-audit-active-backlog-statu'!$G$2:$G$6824,"SafeNoChange")+COUNTIFS('post-audit-active-backlog-statu'!$D$2:$D$6824,M17,'post-audit-active-backlog-statu'!$G$2:$G$6824,"PolicyResolvedNoChange")</f>
        <v>132</v>
      </c>
      <c r="Q17" s="6">
        <f>COUNTIFS('post-audit-active-backlog-statu'!$D$2:$D$6824,M17,'post-audit-active-backlog-statu'!$G$2:$G$6824,"BlocksOnlyThisDomain")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COUNTIF('post-audit-active-backlog-statu'!$C$2:$C$6824,F18)</f>
        <v>27</v>
      </c>
      <c r="H18" s="6">
        <f>COUNTIFS('post-audit-active-backlog-statu'!$C$2:$C$6824,F18,'post-audit-active-backlog-statu'!$G$2:$G$6824,"Fixed")</f>
        <v>0</v>
      </c>
      <c r="I18" s="6">
        <f>COUNTIFS('post-audit-active-backlog-statu'!$C$2:$C$6824,F18,'post-audit-active-backlog-statu'!$G$2:$G$6824,"ReviewedNoChange")+COUNTIFS('post-audit-active-backlog-statu'!$C$2:$C$6824,F18,'post-audit-active-backlog-statu'!$G$2:$G$6824,"SafeNoChange")+COUNTIFS('post-audit-active-backlog-statu'!$C$2:$C$6824,F18,'post-audit-active-backlog-statu'!$G$2:$G$6824,"PolicyResolvedNoChange")</f>
        <v>4</v>
      </c>
      <c r="J18" s="6">
        <f>COUNTIFS('post-audit-active-backlog-statu'!$C$2:$C$6824,F18,'post-audit-active-backlog-statu'!$G$2:$G$6824,"BlocksOnlyThisDomain")</f>
        <v>0</v>
      </c>
      <c r="K18" s="8">
        <f t="shared" si="0"/>
        <v>0.0</v>
      </c>
      <c r="L18" s="1"/>
      <c r="M18" s="4" t="s">
        <v>391</v>
      </c>
      <c r="N18" s="6">
        <f>COUNTIF('post-audit-active-backlog-statu'!$D$2:$D$6824,M18)</f>
        <v>148</v>
      </c>
      <c r="O18" s="6">
        <f>COUNTIFS('post-audit-active-backlog-statu'!$D$2:$D$6824,M18,'post-audit-active-backlog-statu'!$G$2:$G$6824,"Fixed")</f>
        <v>0</v>
      </c>
      <c r="P18" s="6">
        <f>COUNTIFS('post-audit-active-backlog-statu'!$D$2:$D$6824,M18,'post-audit-active-backlog-statu'!$G$2:$G$6824,"ReviewedNoChange")+COUNTIFS('post-audit-active-backlog-statu'!$D$2:$D$6824,M18,'post-audit-active-backlog-statu'!$G$2:$G$6824,"SafeNoChange")+COUNTIFS('post-audit-active-backlog-statu'!$D$2:$D$6824,M18,'post-audit-active-backlog-statu'!$G$2:$G$6824,"PolicyResolvedNoChange")</f>
        <v>148</v>
      </c>
      <c r="Q18" s="6">
        <f>COUNTIFS('post-audit-active-backlog-statu'!$D$2:$D$6824,M18,'post-audit-active-backlog-statu'!$G$2:$G$6824,"BlocksOnlyThisDomain")</f>
        <v>0</v>
      </c>
      <c r="R18" s="8">
        <f t="shared" si="1"/>
        <v>0.0</v>
      </c>
      <c r="S18" s="1"/>
      <c r="T18" s="1"/>
      <c r="U18" s="1"/>
      <c r="V18" s="1"/>
    </row>
    <row r="19" spans="1:22" ht="20.100000000000001" customHeight="1" x14ac:dyDescent="0.25">
      <c r="A19" s="4" t="s">
        <v>33462</v>
      </c>
      <c r="B19" s="6">
        <f>SUM(B5:B14)-'Audit Dashboard'!B6</f>
        <v>0</v>
      </c>
      <c r="C19" s="4" t="str">
        <f t="shared" ref="C19:C27" si="2">IF(B19=0,"OK","REVIEW")</f>
        <v>OK</v>
      </c>
      <c r="D19" s="1"/>
      <c r="E19" s="1"/>
      <c r="F19" s="4" t="s">
        <v>6306</v>
      </c>
      <c r="G19" s="6">
        <f>COUNTIF('post-audit-active-backlog-statu'!$C$2:$C$6824,F19)</f>
        <v>26</v>
      </c>
      <c r="H19" s="6">
        <f>COUNTIFS('post-audit-active-backlog-statu'!$C$2:$C$6824,F19,'post-audit-active-backlog-statu'!$G$2:$G$6824,"Fixed")</f>
        <v>0</v>
      </c>
      <c r="I19" s="6">
        <f>COUNTIFS('post-audit-active-backlog-statu'!$C$2:$C$6824,F19,'post-audit-active-backlog-statu'!$G$2:$G$6824,"ReviewedNoChange")+COUNTIFS('post-audit-active-backlog-statu'!$C$2:$C$6824,F19,'post-audit-active-backlog-statu'!$G$2:$G$6824,"SafeNoChange")+COUNTIFS('post-audit-active-backlog-statu'!$C$2:$C$6824,F19,'post-audit-active-backlog-statu'!$G$2:$G$6824,"PolicyResolvedNoChange")</f>
        <v>0</v>
      </c>
      <c r="J19" s="6">
        <f>COUNTIFS('post-audit-active-backlog-statu'!$C$2:$C$6824,F19,'post-audit-active-backlog-statu'!$G$2:$G$6824,"BlocksOnlyThisDomain")</f>
        <v>0</v>
      </c>
      <c r="K19" s="8">
        <f t="shared" si="0"/>
        <v>0.0</v>
      </c>
      <c r="L19" s="1"/>
      <c r="M19" s="4" t="s">
        <v>45</v>
      </c>
      <c r="N19" s="6">
        <f>COUNTIF('post-audit-active-backlog-statu'!$D$2:$D$6824,M19)</f>
        <v>128</v>
      </c>
      <c r="O19" s="6">
        <f>COUNTIFS('post-audit-active-backlog-statu'!$D$2:$D$6824,M19,'post-audit-active-backlog-statu'!$G$2:$G$6824,"Fixed")</f>
        <v>19</v>
      </c>
      <c r="P19" s="6">
        <f>COUNTIFS('post-audit-active-backlog-statu'!$D$2:$D$6824,M19,'post-audit-active-backlog-statu'!$G$2:$G$6824,"ReviewedNoChange")+COUNTIFS('post-audit-active-backlog-statu'!$D$2:$D$6824,M19,'post-audit-active-backlog-statu'!$G$2:$G$6824,"SafeNoChange")+COUNTIFS('post-audit-active-backlog-statu'!$D$2:$D$6824,M19,'post-audit-active-backlog-statu'!$G$2:$G$6824,"PolicyResolvedNoChange")</f>
        <v>78</v>
      </c>
      <c r="Q19" s="6">
        <f>COUNTIFS('post-audit-active-backlog-statu'!$D$2:$D$6824,M19,'post-audit-active-backlog-statu'!$G$2:$G$6824,"BlocksOnlyThisDomain")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COUNTIF('post-audit-active-backlog-statu'!$C$2:$C$6824,F20)</f>
        <v>17</v>
      </c>
      <c r="H20" s="6">
        <f>COUNTIFS('post-audit-active-backlog-statu'!$C$2:$C$6824,F20,'post-audit-active-backlog-statu'!$G$2:$G$6824,"Fixed")</f>
        <v>3</v>
      </c>
      <c r="I20" s="6">
        <f>COUNTIFS('post-audit-active-backlog-statu'!$C$2:$C$6824,F20,'post-audit-active-backlog-statu'!$G$2:$G$6824,"ReviewedNoChange")+COUNTIFS('post-audit-active-backlog-statu'!$C$2:$C$6824,F20,'post-audit-active-backlog-statu'!$G$2:$G$6824,"SafeNoChange")+COUNTIFS('post-audit-active-backlog-statu'!$C$2:$C$6824,F20,'post-audit-active-backlog-statu'!$G$2:$G$6824,"PolicyResolvedNoChange")</f>
        <v>14</v>
      </c>
      <c r="J20" s="6">
        <f>COUNTIFS('post-audit-active-backlog-statu'!$C$2:$C$6824,F20,'post-audit-active-backlog-statu'!$G$2:$G$6824,"BlocksOnlyThisDomain")</f>
        <v>0</v>
      </c>
      <c r="K20" s="8">
        <f t="shared" si="0"/>
        <v>0.17647058823529413</v>
      </c>
      <c r="L20" s="1"/>
      <c r="M20" s="4" t="s">
        <v>62</v>
      </c>
      <c r="N20" s="6">
        <f>COUNTIF('post-audit-active-backlog-statu'!$D$2:$D$6824,M20)</f>
        <v>123</v>
      </c>
      <c r="O20" s="6">
        <f>COUNTIFS('post-audit-active-backlog-statu'!$D$2:$D$6824,M20,'post-audit-active-backlog-statu'!$G$2:$G$6824,"Fixed")</f>
        <v>40</v>
      </c>
      <c r="P20" s="6">
        <f>COUNTIFS('post-audit-active-backlog-statu'!$D$2:$D$6824,M20,'post-audit-active-backlog-statu'!$G$2:$G$6824,"ReviewedNoChange")+COUNTIFS('post-audit-active-backlog-statu'!$D$2:$D$6824,M20,'post-audit-active-backlog-statu'!$G$2:$G$6824,"SafeNoChange")+COUNTIFS('post-audit-active-backlog-statu'!$D$2:$D$6824,M20,'post-audit-active-backlog-statu'!$G$2:$G$6824,"PolicyResolvedNoChange")</f>
        <v>69</v>
      </c>
      <c r="Q20" s="6">
        <f>COUNTIFS('post-audit-active-backlog-statu'!$D$2:$D$6824,M20,'post-audit-active-backlog-statu'!$G$2:$G$6824,"BlocksOnlyThisDomain")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COUNTIF('post-audit-active-backlog-statu'!$C$2:$C$6824,F21)</f>
        <v>14</v>
      </c>
      <c r="H21" s="6">
        <f>COUNTIFS('post-audit-active-backlog-statu'!$C$2:$C$6824,F21,'post-audit-active-backlog-statu'!$G$2:$G$6824,"Fixed")</f>
        <v>8</v>
      </c>
      <c r="I21" s="6">
        <f>COUNTIFS('post-audit-active-backlog-statu'!$C$2:$C$6824,F21,'post-audit-active-backlog-statu'!$G$2:$G$6824,"ReviewedNoChange")+COUNTIFS('post-audit-active-backlog-statu'!$C$2:$C$6824,F21,'post-audit-active-backlog-statu'!$G$2:$G$6824,"SafeNoChange")+COUNTIFS('post-audit-active-backlog-statu'!$C$2:$C$6824,F21,'post-audit-active-backlog-statu'!$G$2:$G$6824,"PolicyResolvedNoChange")</f>
        <v>0</v>
      </c>
      <c r="J21" s="6">
        <f>COUNTIFS('post-audit-active-backlog-statu'!$C$2:$C$6824,F21,'post-audit-active-backlog-statu'!$G$2:$G$6824,"BlocksOnlyThisDomain")</f>
        <v>6</v>
      </c>
      <c r="K21" s="8">
        <f t="shared" si="0"/>
        <v>0.5714285714285714</v>
      </c>
      <c r="L21" s="1"/>
      <c r="M21" s="4" t="s">
        <v>3068</v>
      </c>
      <c r="N21" s="6">
        <f>COUNTIF('post-audit-active-backlog-statu'!$D$2:$D$6824,M21)</f>
        <v>118</v>
      </c>
      <c r="O21" s="6">
        <f>COUNTIFS('post-audit-active-backlog-statu'!$D$2:$D$6824,M21,'post-audit-active-backlog-statu'!$G$2:$G$6824,"Fixed")</f>
        <v>24</v>
      </c>
      <c r="P21" s="6">
        <f>COUNTIFS('post-audit-active-backlog-statu'!$D$2:$D$6824,M21,'post-audit-active-backlog-statu'!$G$2:$G$6824,"ReviewedNoChange")+COUNTIFS('post-audit-active-backlog-statu'!$D$2:$D$6824,M21,'post-audit-active-backlog-statu'!$G$2:$G$6824,"SafeNoChange")+COUNTIFS('post-audit-active-backlog-statu'!$D$2:$D$6824,M21,'post-audit-active-backlog-statu'!$G$2:$G$6824,"PolicyResolvedNoChange")</f>
        <v>87</v>
      </c>
      <c r="Q21" s="6">
        <f>COUNTIFS('post-audit-active-backlog-statu'!$D$2:$D$6824,M21,'post-audit-active-backlog-statu'!$G$2:$G$6824,"BlocksOnlyThisDomain")</f>
        <v>0</v>
      </c>
      <c r="R21" s="8">
        <f t="shared" si="1"/>
        <v>0.2033898305084746</v>
      </c>
      <c r="S21" s="1"/>
      <c r="T21" s="1"/>
      <c r="U21" s="1"/>
      <c r="V21" s="1"/>
    </row>
    <row r="22" spans="1:22" ht="20.100000000000001" customHeight="1" x14ac:dyDescent="0.25">
      <c r="A22" s="4" t="s">
        <v>33465</v>
      </c>
      <c r="B22" s="6">
        <f>SUM(U5:U13)-'Audit Dashboard'!B6</f>
        <v>0</v>
      </c>
      <c r="C22" s="4" t="str">
        <f t="shared" si="2"/>
        <v>OK</v>
      </c>
      <c r="D22" s="1"/>
      <c r="E22" s="1"/>
      <c r="F22" s="1"/>
      <c r="G22" s="1"/>
      <c r="H22" s="1"/>
      <c r="I22" s="1"/>
      <c r="J22" s="1"/>
      <c r="K22" s="1"/>
      <c r="L22" s="1"/>
      <c r="M22" s="4" t="s">
        <v>286</v>
      </c>
      <c r="N22" s="6">
        <f>COUNTIF('post-audit-active-backlog-statu'!$D$2:$D$6824,M22)</f>
        <v>110</v>
      </c>
      <c r="O22" s="6">
        <f>COUNTIFS('post-audit-active-backlog-statu'!$D$2:$D$6824,M22,'post-audit-active-backlog-statu'!$G$2:$G$6824,"Fixed")</f>
        <v>13</v>
      </c>
      <c r="P22" s="6">
        <f>COUNTIFS('post-audit-active-backlog-statu'!$D$2:$D$6824,M22,'post-audit-active-backlog-statu'!$G$2:$G$6824,"ReviewedNoChange")+COUNTIFS('post-audit-active-backlog-statu'!$D$2:$D$6824,M22,'post-audit-active-backlog-statu'!$G$2:$G$6824,"SafeNoChange")+COUNTIFS('post-audit-active-backlog-statu'!$D$2:$D$6824,M22,'post-audit-active-backlog-statu'!$G$2:$G$6824,"PolicyResolvedNoChange")</f>
        <v>37</v>
      </c>
      <c r="Q22" s="6">
        <f>COUNTIFS('post-audit-active-backlog-statu'!$D$2:$D$6824,M22,'post-audit-active-backlog-statu'!$G$2:$G$6824,"BlocksOnlyThisDomain")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SUMPRODUCT(('post-audit-active-backlog-statu'!$A$2:$A$6824&lt;&gt;"")*(COUNTIF('post-audit-active-backlog-statu'!$A$2:$A$6824,'post-audit-active-backlog-statu'!$A$2:$A$6824)&gt;1))</f>
        <v>0</v>
      </c>
      <c r="C23" s="4" t="str">
        <f t="shared" si="2"/>
        <v>OK</v>
      </c>
      <c r="D23" s="1"/>
      <c r="E23" s="1"/>
      <c r="F23" s="1"/>
      <c r="G23" s="1"/>
      <c r="H23" s="1"/>
      <c r="I23" s="1"/>
      <c r="J23" s="1"/>
      <c r="K23" s="1"/>
      <c r="L23" s="1"/>
      <c r="M23" s="4" t="s">
        <v>10730</v>
      </c>
      <c r="N23" s="6">
        <f>COUNTIF('post-audit-active-backlog-statu'!$D$2:$D$6824,M23)</f>
        <v>105</v>
      </c>
      <c r="O23" s="6">
        <f>COUNTIFS('post-audit-active-backlog-statu'!$D$2:$D$6824,M23,'post-audit-active-backlog-statu'!$G$2:$G$6824,"Fixed")</f>
        <v>0</v>
      </c>
      <c r="P23" s="6">
        <f>COUNTIFS('post-audit-active-backlog-statu'!$D$2:$D$6824,M23,'post-audit-active-backlog-statu'!$G$2:$G$6824,"ReviewedNoChange")+COUNTIFS('post-audit-active-backlog-statu'!$D$2:$D$6824,M23,'post-audit-active-backlog-statu'!$G$2:$G$6824,"SafeNoChange")+COUNTIFS('post-audit-active-backlog-statu'!$D$2:$D$6824,M23,'post-audit-active-backlog-statu'!$G$2:$G$6824,"PolicyResolvedNoChange")</f>
        <v>12</v>
      </c>
      <c r="Q23" s="6">
        <f>COUNTIFS('post-audit-active-backlog-statu'!$D$2:$D$6824,M23,'post-audit-active-backlog-statu'!$G$2:$G$6824,"BlocksOnlyThisDomain")</f>
        <v>0</v>
      </c>
      <c r="R23" s="8">
        <f t="shared" si="1"/>
        <v>0.0</v>
      </c>
      <c r="S23" s="1"/>
      <c r="T23" s="1"/>
      <c r="U23" s="1"/>
      <c r="V23" s="1"/>
    </row>
    <row r="24" spans="1:22" ht="20.100000000000001" customHeight="1" x14ac:dyDescent="0.25">
      <c r="A24" s="4" t="s">
        <v>33467</v>
      </c>
      <c r="B24" s="4">
        <f>COUNTIFS('post-audit-active-backlog-statu'!$A$2:$A$6824,"&lt;&gt;",'post-audit-active-backlog-statu'!$G$2:$G$6824,"")</f>
        <v>0</v>
      </c>
      <c r="C24" s="4" t="str">
        <f t="shared" si="2"/>
        <v>OK</v>
      </c>
      <c r="D24" s="1"/>
      <c r="E24" s="1"/>
      <c r="F24" s="1"/>
      <c r="G24" s="1"/>
      <c r="H24" s="1"/>
      <c r="I24" s="1"/>
      <c r="J24" s="1"/>
      <c r="K24" s="1"/>
      <c r="L24" s="1"/>
      <c r="M24" s="4" t="s">
        <v>2347</v>
      </c>
      <c r="N24" s="6">
        <f>COUNTIF('post-audit-active-backlog-statu'!$D$2:$D$6824,M24)</f>
        <v>93</v>
      </c>
      <c r="O24" s="6">
        <f>COUNTIFS('post-audit-active-backlog-statu'!$D$2:$D$6824,M24,'post-audit-active-backlog-statu'!$G$2:$G$6824,"Fixed")</f>
        <v>14</v>
      </c>
      <c r="P24" s="6">
        <f>COUNTIFS('post-audit-active-backlog-statu'!$D$2:$D$6824,M24,'post-audit-active-backlog-statu'!$G$2:$G$6824,"ReviewedNoChange")+COUNTIFS('post-audit-active-backlog-statu'!$D$2:$D$6824,M24,'post-audit-active-backlog-statu'!$G$2:$G$6824,"SafeNoChange")+COUNTIFS('post-audit-active-backlog-statu'!$D$2:$D$6824,M24,'post-audit-active-backlog-statu'!$G$2:$G$6824,"PolicyResolvedNoChange")</f>
        <v>52</v>
      </c>
      <c r="Q24" s="6">
        <f>COUNTIFS('post-audit-active-backlog-statu'!$D$2:$D$6824,M24,'post-audit-active-backlog-statu'!$G$2:$G$6824,"BlocksOnlyThisDomain")</f>
        <v>0</v>
      </c>
      <c r="R24" s="8">
        <f t="shared" si="1"/>
        <v>0.15053763440860216</v>
      </c>
      <c r="S24" s="1"/>
      <c r="T24" s="1"/>
      <c r="U24" s="1"/>
      <c r="V24" s="1"/>
    </row>
    <row r="25" spans="1:22" ht="30" customHeight="1" x14ac:dyDescent="0.25">
      <c r="A25" s="4" t="s">
        <v>33468</v>
      </c>
      <c r="B25" s="4">
        <f>COUNTIFS('post-audit-active-backlog-statu'!$A$2:$A$6824,"&lt;&gt;",'post-audit-active-backlog-statu'!$L$2:$L$6824,"")</f>
        <v>0</v>
      </c>
      <c r="C25" s="4" t="str">
        <f t="shared" si="2"/>
        <v>OK</v>
      </c>
      <c r="D25" s="1"/>
      <c r="E25" s="1"/>
      <c r="F25" s="3" t="s">
        <v>33471</v>
      </c>
      <c r="G25" s="3" t="s">
        <v>33443</v>
      </c>
      <c r="H25" s="3" t="s">
        <v>33472</v>
      </c>
      <c r="I25" s="3" t="s">
        <v>33456</v>
      </c>
      <c r="J25" s="1"/>
      <c r="K25" s="1"/>
      <c r="L25" s="1"/>
      <c r="M25" s="4" t="s">
        <v>133</v>
      </c>
      <c r="N25" s="6">
        <f>COUNTIF('post-audit-active-backlog-statu'!$D$2:$D$6824,M25)</f>
        <v>92</v>
      </c>
      <c r="O25" s="6">
        <f>COUNTIFS('post-audit-active-backlog-statu'!$D$2:$D$6824,M25,'post-audit-active-backlog-statu'!$G$2:$G$6824,"Fixed")</f>
        <v>13</v>
      </c>
      <c r="P25" s="6">
        <f>COUNTIFS('post-audit-active-backlog-statu'!$D$2:$D$6824,M25,'post-audit-active-backlog-statu'!$G$2:$G$6824,"ReviewedNoChange")+COUNTIFS('post-audit-active-backlog-statu'!$D$2:$D$6824,M25,'post-audit-active-backlog-statu'!$G$2:$G$6824,"SafeNoChange")+COUNTIFS('post-audit-active-backlog-statu'!$D$2:$D$6824,M25,'post-audit-active-backlog-statu'!$G$2:$G$6824,"PolicyResolvedNoChange")</f>
        <v>33</v>
      </c>
      <c r="Q25" s="6">
        <f>COUNTIFS('post-audit-active-backlog-statu'!$D$2:$D$6824,M25,'post-audit-active-backlog-statu'!$G$2:$G$6824,"BlocksOnlyThisDomain")</f>
        <v>0</v>
      </c>
      <c r="R25" s="8">
        <f t="shared" si="1"/>
        <v>0.14130434782608695</v>
      </c>
      <c r="S25" s="1"/>
      <c r="T25" s="1"/>
      <c r="U25" s="1"/>
      <c r="V25" s="1"/>
    </row>
    <row r="26" spans="1:22" ht="20.100000000000001" customHeight="1" x14ac:dyDescent="0.25">
      <c r="A26" s="4" t="s">
        <v>33469</v>
      </c>
      <c r="B26" s="4">
        <f>COUNTIFS('post-audit-active-backlog-statu'!$A$2:$A$6824,"&lt;&gt;",'post-audit-active-backlog-statu'!$M$2:$M$6824,"")</f>
        <v>0</v>
      </c>
      <c r="C26" s="4" t="str">
        <f t="shared" si="2"/>
        <v>OK</v>
      </c>
      <c r="D26" s="1"/>
      <c r="E26" s="1"/>
      <c r="F26" s="4" t="s">
        <v>21</v>
      </c>
      <c r="G26" s="4">
        <f>COUNTIF('post-audit-active-backlog-statu'!$F$2:$F$6824,F26)</f>
        <v>6601</v>
      </c>
      <c r="H26" s="4">
        <f>COUNTIFS('post-audit-active-backlog-statu'!$F$2:$F$6824,F26,'post-audit-active-backlog-statu'!$G$2:$G$6824,"Fixed")</f>
        <v>939</v>
      </c>
      <c r="I26" s="4">
        <f>COUNTIFS('post-audit-active-backlog-statu'!$F$2:$F$6824,F26,'post-audit-active-backlog-statu'!$G$2:$G$6824,"BlocksOnlyThisDomain")</f>
        <v>1</v>
      </c>
      <c r="J26" s="1"/>
      <c r="K26" s="1"/>
      <c r="L26" s="1"/>
      <c r="M26" s="4" t="s">
        <v>82</v>
      </c>
      <c r="N26" s="6">
        <f>COUNTIF('post-audit-active-backlog-statu'!$D$2:$D$6824,M26)</f>
        <v>89</v>
      </c>
      <c r="O26" s="6">
        <f>COUNTIFS('post-audit-active-backlog-statu'!$D$2:$D$6824,M26,'post-audit-active-backlog-statu'!$G$2:$G$6824,"Fixed")</f>
        <v>2</v>
      </c>
      <c r="P26" s="6">
        <f>COUNTIFS('post-audit-active-backlog-statu'!$D$2:$D$6824,M26,'post-audit-active-backlog-statu'!$G$2:$G$6824,"ReviewedNoChange")+COUNTIFS('post-audit-active-backlog-statu'!$D$2:$D$6824,M26,'post-audit-active-backlog-statu'!$G$2:$G$6824,"SafeNoChange")+COUNTIFS('post-audit-active-backlog-statu'!$D$2:$D$6824,M26,'post-audit-active-backlog-statu'!$G$2:$G$6824,"PolicyResolvedNoChange")</f>
        <v>69</v>
      </c>
      <c r="Q26" s="6">
        <f>COUNTIFS('post-audit-active-backlog-statu'!$D$2:$D$6824,M26,'post-audit-active-backlog-statu'!$G$2:$G$6824,"BlocksOnlyThisDomain")</f>
        <v>0</v>
      </c>
      <c r="R26" s="8">
        <f t="shared" si="1"/>
        <v>0.02247191011235955</v>
      </c>
      <c r="S26" s="1"/>
      <c r="T26" s="1"/>
      <c r="U26" s="1"/>
      <c r="V26" s="1"/>
    </row>
    <row r="27" spans="1:22" ht="20.100000000000001" customHeight="1" x14ac:dyDescent="0.25">
      <c r="A27" s="4" t="s">
        <v>33470</v>
      </c>
      <c r="B27" s="4">
        <f>COUNTIFS('post-audit-active-backlog-statu'!$A$2:$A$6824,"&lt;&gt;",'post-audit-active-backlog-statu'!$O$2:$O$6824,"")</f>
        <v>0</v>
      </c>
      <c r="C27" s="4" t="str">
        <f t="shared" si="2"/>
        <v>OK</v>
      </c>
      <c r="D27" s="1"/>
      <c r="E27" s="1"/>
      <c r="F27" s="4" t="s">
        <v>6308</v>
      </c>
      <c r="G27" s="4">
        <f>COUNTIF('post-audit-active-backlog-statu'!$F$2:$F$6824,F27)</f>
        <v>208</v>
      </c>
      <c r="H27" s="4">
        <f>COUNTIFS('post-audit-active-backlog-statu'!$F$2:$F$6824,F27,'post-audit-active-backlog-statu'!$G$2:$G$6824,"Fixed")</f>
        <v>6</v>
      </c>
      <c r="I27" s="4">
        <f>COUNTIFS('post-audit-active-backlog-statu'!$F$2:$F$6824,F27,'post-audit-active-backlog-statu'!$G$2:$G$6824,"BlocksOnlyThisDomain")</f>
        <v>0</v>
      </c>
      <c r="J27" s="1"/>
      <c r="K27" s="1"/>
      <c r="L27" s="1"/>
      <c r="M27" s="4" t="s">
        <v>5471</v>
      </c>
      <c r="N27" s="6">
        <f>COUNTIF('post-audit-active-backlog-statu'!$D$2:$D$6824,M27)</f>
        <v>89</v>
      </c>
      <c r="O27" s="6">
        <f>COUNTIFS('post-audit-active-backlog-statu'!$D$2:$D$6824,M27,'post-audit-active-backlog-statu'!$G$2:$G$6824,"Fixed")</f>
        <v>16</v>
      </c>
      <c r="P27" s="6">
        <f>COUNTIFS('post-audit-active-backlog-statu'!$D$2:$D$6824,M27,'post-audit-active-backlog-statu'!$G$2:$G$6824,"ReviewedNoChange")+COUNTIFS('post-audit-active-backlog-statu'!$D$2:$D$6824,M27,'post-audit-active-backlog-statu'!$G$2:$G$6824,"SafeNoChange")+COUNTIFS('post-audit-active-backlog-statu'!$D$2:$D$6824,M27,'post-audit-active-backlog-statu'!$G$2:$G$6824,"PolicyResolvedNoChange")</f>
        <v>69</v>
      </c>
      <c r="Q27" s="6">
        <f>COUNTIFS('post-audit-active-backlog-statu'!$D$2:$D$6824,M27,'post-audit-active-backlog-statu'!$G$2:$G$6824,"BlocksOnlyThisDomain")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COUNTIF('post-audit-active-backlog-statu'!$F$2:$F$6824,F28)</f>
        <v>14</v>
      </c>
      <c r="H28" s="4">
        <f>COUNTIFS('post-audit-active-backlog-statu'!$F$2:$F$6824,F28,'post-audit-active-backlog-statu'!$G$2:$G$6824,"Fixed")</f>
        <v>8</v>
      </c>
      <c r="I28" s="4">
        <f>COUNTIFS('post-audit-active-backlog-statu'!$F$2:$F$6824,F28,'post-audit-active-backlog-statu'!$G$2:$G$6824,"BlocksOnlyThisDomain")</f>
        <v>6</v>
      </c>
      <c r="J28" s="1"/>
      <c r="K28" s="1"/>
      <c r="L28" s="1"/>
      <c r="M28" s="4" t="s">
        <v>11356</v>
      </c>
      <c r="N28" s="6">
        <f>COUNTIF('post-audit-active-backlog-statu'!$D$2:$D$6824,M28)</f>
        <v>81</v>
      </c>
      <c r="O28" s="6">
        <f>COUNTIFS('post-audit-active-backlog-statu'!$D$2:$D$6824,M28,'post-audit-active-backlog-statu'!$G$2:$G$6824,"Fixed")</f>
        <v>0</v>
      </c>
      <c r="P28" s="6">
        <f>COUNTIFS('post-audit-active-backlog-statu'!$D$2:$D$6824,M28,'post-audit-active-backlog-statu'!$G$2:$G$6824,"ReviewedNoChange")+COUNTIFS('post-audit-active-backlog-statu'!$D$2:$D$6824,M28,'post-audit-active-backlog-statu'!$G$2:$G$6824,"SafeNoChange")+COUNTIFS('post-audit-active-backlog-statu'!$D$2:$D$6824,M28,'post-audit-active-backlog-statu'!$G$2:$G$6824,"PolicyResolvedNoChange")</f>
        <v>2</v>
      </c>
      <c r="Q28" s="6">
        <f>COUNTIFS('post-audit-active-backlog-statu'!$D$2:$D$6824,M28,'post-audit-active-backlog-statu'!$G$2:$G$6824,"BlocksOnlyThisDomain")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COUNTIF('post-audit-active-backlog-statu'!$D$2:$D$6824,M29)</f>
        <v>58</v>
      </c>
      <c r="O29" s="6">
        <f>COUNTIFS('post-audit-active-backlog-statu'!$D$2:$D$6824,M29,'post-audit-active-backlog-statu'!$G$2:$G$6824,"Fixed")</f>
        <v>3</v>
      </c>
      <c r="P29" s="6">
        <f>COUNTIFS('post-audit-active-backlog-statu'!$D$2:$D$6824,M29,'post-audit-active-backlog-statu'!$G$2:$G$6824,"ReviewedNoChange")+COUNTIFS('post-audit-active-backlog-statu'!$D$2:$D$6824,M29,'post-audit-active-backlog-statu'!$G$2:$G$6824,"SafeNoChange")+COUNTIFS('post-audit-active-backlog-statu'!$D$2:$D$6824,M29,'post-audit-active-backlog-statu'!$G$2:$G$6824,"PolicyResolvedNoChange")</f>
        <v>46</v>
      </c>
      <c r="Q29" s="6">
        <f>COUNTIFS('post-audit-active-backlog-statu'!$D$2:$D$6824,M29,'post-audit-active-backlog-statu'!$G$2:$G$6824,"BlocksOnlyThisDomain")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COUNTIF('post-audit-active-backlog-statu'!$D$2:$D$6824,M30)</f>
        <v>56</v>
      </c>
      <c r="O30" s="6">
        <f>COUNTIFS('post-audit-active-backlog-statu'!$D$2:$D$6824,M30,'post-audit-active-backlog-statu'!$G$2:$G$6824,"Fixed")</f>
        <v>18</v>
      </c>
      <c r="P30" s="6">
        <f>COUNTIFS('post-audit-active-backlog-statu'!$D$2:$D$6824,M30,'post-audit-active-backlog-statu'!$G$2:$G$6824,"ReviewedNoChange")+COUNTIFS('post-audit-active-backlog-statu'!$D$2:$D$6824,M30,'post-audit-active-backlog-statu'!$G$2:$G$6824,"SafeNoChange")+COUNTIFS('post-audit-active-backlog-statu'!$D$2:$D$6824,M30,'post-audit-active-backlog-statu'!$G$2:$G$6824,"PolicyResolvedNoChange")</f>
        <v>16</v>
      </c>
      <c r="Q30" s="6">
        <f>COUNTIFS('post-audit-active-backlog-statu'!$D$2:$D$6824,M30,'post-audit-active-backlog-statu'!$G$2:$G$6824,"BlocksOnlyThisDomain")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COUNTIF('post-audit-active-backlog-statu'!$D$2:$D$6824,M31)</f>
        <v>50</v>
      </c>
      <c r="O31" s="6">
        <f>COUNTIFS('post-audit-active-backlog-statu'!$D$2:$D$6824,M31,'post-audit-active-backlog-statu'!$G$2:$G$6824,"Fixed")</f>
        <v>14</v>
      </c>
      <c r="P31" s="6">
        <f>COUNTIFS('post-audit-active-backlog-statu'!$D$2:$D$6824,M31,'post-audit-active-backlog-statu'!$G$2:$G$6824,"ReviewedNoChange")+COUNTIFS('post-audit-active-backlog-statu'!$D$2:$D$6824,M31,'post-audit-active-backlog-statu'!$G$2:$G$6824,"SafeNoChange")+COUNTIFS('post-audit-active-backlog-statu'!$D$2:$D$6824,M31,'post-audit-active-backlog-statu'!$G$2:$G$6824,"PolicyResolvedNoChange")</f>
        <v>36</v>
      </c>
      <c r="Q31" s="6">
        <f>COUNTIFS('post-audit-active-backlog-statu'!$D$2:$D$6824,M31,'post-audit-active-backlog-statu'!$G$2:$G$6824,"BlocksOnlyThisDomain")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COUNTIF('post-audit-active-backlog-statu'!$D$2:$D$6824,M32)</f>
        <v>50</v>
      </c>
      <c r="O32" s="6">
        <f>COUNTIFS('post-audit-active-backlog-statu'!$D$2:$D$6824,M32,'post-audit-active-backlog-statu'!$G$2:$G$6824,"Fixed")</f>
        <v>2</v>
      </c>
      <c r="P32" s="6">
        <f>COUNTIFS('post-audit-active-backlog-statu'!$D$2:$D$6824,M32,'post-audit-active-backlog-statu'!$G$2:$G$6824,"ReviewedNoChange")+COUNTIFS('post-audit-active-backlog-statu'!$D$2:$D$6824,M32,'post-audit-active-backlog-statu'!$G$2:$G$6824,"SafeNoChange")+COUNTIFS('post-audit-active-backlog-statu'!$D$2:$D$6824,M32,'post-audit-active-backlog-statu'!$G$2:$G$6824,"PolicyResolvedNoChange")</f>
        <v>35</v>
      </c>
      <c r="Q32" s="6">
        <f>COUNTIFS('post-audit-active-backlog-statu'!$D$2:$D$6824,M32,'post-audit-active-backlog-statu'!$G$2:$G$6824,"BlocksOnlyThisDomain")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COUNTIF('post-audit-active-backlog-statu'!$D$2:$D$6824,M33)</f>
        <v>47</v>
      </c>
      <c r="O33" s="6">
        <f>COUNTIFS('post-audit-active-backlog-statu'!$D$2:$D$6824,M33,'post-audit-active-backlog-statu'!$G$2:$G$6824,"Fixed")</f>
        <v>1</v>
      </c>
      <c r="P33" s="6">
        <f>COUNTIFS('post-audit-active-backlog-statu'!$D$2:$D$6824,M33,'post-audit-active-backlog-statu'!$G$2:$G$6824,"ReviewedNoChange")+COUNTIFS('post-audit-active-backlog-statu'!$D$2:$D$6824,M33,'post-audit-active-backlog-statu'!$G$2:$G$6824,"SafeNoChange")+COUNTIFS('post-audit-active-backlog-statu'!$D$2:$D$6824,M33,'post-audit-active-backlog-statu'!$G$2:$G$6824,"PolicyResolvedNoChange")</f>
        <v>7</v>
      </c>
      <c r="Q33" s="6">
        <f>COUNTIFS('post-audit-active-backlog-statu'!$D$2:$D$6824,M33,'post-audit-active-backlog-statu'!$G$2:$G$6824,"BlocksOnlyThisDomain")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COUNTIF('post-audit-active-backlog-statu'!$D$2:$D$6824,M34)</f>
        <v>46</v>
      </c>
      <c r="O34" s="6">
        <f>COUNTIFS('post-audit-active-backlog-statu'!$D$2:$D$6824,M34,'post-audit-active-backlog-statu'!$G$2:$G$6824,"Fixed")</f>
        <v>31</v>
      </c>
      <c r="P34" s="6">
        <f>COUNTIFS('post-audit-active-backlog-statu'!$D$2:$D$6824,M34,'post-audit-active-backlog-statu'!$G$2:$G$6824,"ReviewedNoChange")+COUNTIFS('post-audit-active-backlog-statu'!$D$2:$D$6824,M34,'post-audit-active-backlog-statu'!$G$2:$G$6824,"SafeNoChange")+COUNTIFS('post-audit-active-backlog-statu'!$D$2:$D$6824,M34,'post-audit-active-backlog-statu'!$G$2:$G$6824,"PolicyResolvedNoChange")</f>
        <v>8</v>
      </c>
      <c r="Q34" s="6">
        <f>COUNTIFS('post-audit-active-backlog-statu'!$D$2:$D$6824,M34,'post-audit-active-backlog-statu'!$G$2:$G$6824,"BlocksOnlyThisDomain")</f>
        <v>0</v>
      </c>
      <c r="R34" s="8">
        <f t="shared" si="1"/>
        <v>0.6739130434782609</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COUNTIF('post-audit-active-backlog-statu'!$D$2:$D$6824,M35)</f>
        <v>45</v>
      </c>
      <c r="O35" s="6">
        <f>COUNTIFS('post-audit-active-backlog-statu'!$D$2:$D$6824,M35,'post-audit-active-backlog-statu'!$G$2:$G$6824,"Fixed")</f>
        <v>4</v>
      </c>
      <c r="P35" s="6">
        <f>COUNTIFS('post-audit-active-backlog-statu'!$D$2:$D$6824,M35,'post-audit-active-backlog-statu'!$G$2:$G$6824,"ReviewedNoChange")+COUNTIFS('post-audit-active-backlog-statu'!$D$2:$D$6824,M35,'post-audit-active-backlog-statu'!$G$2:$G$6824,"SafeNoChange")+COUNTIFS('post-audit-active-backlog-statu'!$D$2:$D$6824,M35,'post-audit-active-backlog-statu'!$G$2:$G$6824,"PolicyResolvedNoChange")</f>
        <v>39</v>
      </c>
      <c r="Q35" s="6">
        <f>COUNTIFS('post-audit-active-backlog-statu'!$D$2:$D$6824,M35,'post-audit-active-backlog-statu'!$G$2:$G$6824,"BlocksOnlyThisDomain")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COUNTIF('post-audit-active-backlog-statu'!$D$2:$D$6824,M36)</f>
        <v>48</v>
      </c>
      <c r="O36" s="6">
        <f>COUNTIFS('post-audit-active-backlog-statu'!$D$2:$D$6824,M36,'post-audit-active-backlog-statu'!$G$2:$G$6824,"Fixed")</f>
        <v>19</v>
      </c>
      <c r="P36" s="6">
        <f>COUNTIFS('post-audit-active-backlog-statu'!$D$2:$D$6824,M36,'post-audit-active-backlog-statu'!$G$2:$G$6824,"ReviewedNoChange")+COUNTIFS('post-audit-active-backlog-statu'!$D$2:$D$6824,M36,'post-audit-active-backlog-statu'!$G$2:$G$6824,"SafeNoChange")+COUNTIFS('post-audit-active-backlog-statu'!$D$2:$D$6824,M36,'post-audit-active-backlog-statu'!$G$2:$G$6824,"PolicyResolvedNoChange")</f>
        <v>19</v>
      </c>
      <c r="Q36" s="6">
        <f>COUNTIFS('post-audit-active-backlog-statu'!$D$2:$D$6824,M36,'post-audit-active-backlog-statu'!$G$2:$G$6824,"BlocksOnlyThisDomain")</f>
        <v>0</v>
      </c>
      <c r="R36" s="8">
        <f t="shared" si="1"/>
        <v>0.3958333333333333</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COUNTIF('post-audit-active-backlog-statu'!$D$2:$D$6824,M37)</f>
        <v>40</v>
      </c>
      <c r="O37" s="6">
        <f>COUNTIFS('post-audit-active-backlog-statu'!$D$2:$D$6824,M37,'post-audit-active-backlog-statu'!$G$2:$G$6824,"Fixed")</f>
        <v>2</v>
      </c>
      <c r="P37" s="6">
        <f>COUNTIFS('post-audit-active-backlog-statu'!$D$2:$D$6824,M37,'post-audit-active-backlog-statu'!$G$2:$G$6824,"ReviewedNoChange")+COUNTIFS('post-audit-active-backlog-statu'!$D$2:$D$6824,M37,'post-audit-active-backlog-statu'!$G$2:$G$6824,"SafeNoChange")+COUNTIFS('post-audit-active-backlog-statu'!$D$2:$D$6824,M37,'post-audit-active-backlog-statu'!$G$2:$G$6824,"PolicyResolvedNoChange")</f>
        <v>27</v>
      </c>
      <c r="Q37" s="6">
        <f>COUNTIFS('post-audit-active-backlog-statu'!$D$2:$D$6824,M37,'post-audit-active-backlog-statu'!$G$2:$G$6824,"BlocksOnlyThisDomain")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COUNTIF('post-audit-active-backlog-statu'!$D$2:$D$6824,M38)</f>
        <v>36</v>
      </c>
      <c r="O38" s="6">
        <f>COUNTIFS('post-audit-active-backlog-statu'!$D$2:$D$6824,M38,'post-audit-active-backlog-statu'!$G$2:$G$6824,"Fixed")</f>
        <v>11</v>
      </c>
      <c r="P38" s="6">
        <f>COUNTIFS('post-audit-active-backlog-statu'!$D$2:$D$6824,M38,'post-audit-active-backlog-statu'!$G$2:$G$6824,"ReviewedNoChange")+COUNTIFS('post-audit-active-backlog-statu'!$D$2:$D$6824,M38,'post-audit-active-backlog-statu'!$G$2:$G$6824,"SafeNoChange")+COUNTIFS('post-audit-active-backlog-statu'!$D$2:$D$6824,M38,'post-audit-active-backlog-statu'!$G$2:$G$6824,"PolicyResolvedNoChange")</f>
        <v>7</v>
      </c>
      <c r="Q38" s="6">
        <f>COUNTIFS('post-audit-active-backlog-statu'!$D$2:$D$6824,M38,'post-audit-active-backlog-statu'!$G$2:$G$6824,"BlocksOnlyThisDomain")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COUNTIF('post-audit-active-backlog-statu'!$D$2:$D$6824,M39)</f>
        <v>33</v>
      </c>
      <c r="O39" s="6">
        <f>COUNTIFS('post-audit-active-backlog-statu'!$D$2:$D$6824,M39,'post-audit-active-backlog-statu'!$G$2:$G$6824,"Fixed")</f>
        <v>2</v>
      </c>
      <c r="P39" s="6">
        <f>COUNTIFS('post-audit-active-backlog-statu'!$D$2:$D$6824,M39,'post-audit-active-backlog-statu'!$G$2:$G$6824,"ReviewedNoChange")+COUNTIFS('post-audit-active-backlog-statu'!$D$2:$D$6824,M39,'post-audit-active-backlog-statu'!$G$2:$G$6824,"SafeNoChange")+COUNTIFS('post-audit-active-backlog-statu'!$D$2:$D$6824,M39,'post-audit-active-backlog-statu'!$G$2:$G$6824,"PolicyResolvedNoChange")</f>
        <v>22</v>
      </c>
      <c r="Q39" s="6">
        <f>COUNTIFS('post-audit-active-backlog-statu'!$D$2:$D$6824,M39,'post-audit-active-backlog-statu'!$G$2:$G$6824,"BlocksOnlyThisDomain")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COUNTIF('post-audit-active-backlog-statu'!$D$2:$D$6824,M40)</f>
        <v>32</v>
      </c>
      <c r="O40" s="6">
        <f>COUNTIFS('post-audit-active-backlog-statu'!$D$2:$D$6824,M40,'post-audit-active-backlog-statu'!$G$2:$G$6824,"Fixed")</f>
        <v>2</v>
      </c>
      <c r="P40" s="6">
        <f>COUNTIFS('post-audit-active-backlog-statu'!$D$2:$D$6824,M40,'post-audit-active-backlog-statu'!$G$2:$G$6824,"ReviewedNoChange")+COUNTIFS('post-audit-active-backlog-statu'!$D$2:$D$6824,M40,'post-audit-active-backlog-statu'!$G$2:$G$6824,"SafeNoChange")+COUNTIFS('post-audit-active-backlog-statu'!$D$2:$D$6824,M40,'post-audit-active-backlog-statu'!$G$2:$G$6824,"PolicyResolvedNoChange")</f>
        <v>30</v>
      </c>
      <c r="Q40" s="6">
        <f>COUNTIFS('post-audit-active-backlog-statu'!$D$2:$D$6824,M40,'post-audit-active-backlog-statu'!$G$2:$G$6824,"BlocksOnlyThisDomain")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COUNTIF('post-audit-active-backlog-statu'!$D$2:$D$6824,M41)</f>
        <v>29</v>
      </c>
      <c r="O41" s="6">
        <f>COUNTIFS('post-audit-active-backlog-statu'!$D$2:$D$6824,M41,'post-audit-active-backlog-statu'!$G$2:$G$6824,"Fixed")</f>
        <v>2</v>
      </c>
      <c r="P41" s="6">
        <f>COUNTIFS('post-audit-active-backlog-statu'!$D$2:$D$6824,M41,'post-audit-active-backlog-statu'!$G$2:$G$6824,"ReviewedNoChange")+COUNTIFS('post-audit-active-backlog-statu'!$D$2:$D$6824,M41,'post-audit-active-backlog-statu'!$G$2:$G$6824,"SafeNoChange")+COUNTIFS('post-audit-active-backlog-statu'!$D$2:$D$6824,M41,'post-audit-active-backlog-statu'!$G$2:$G$6824,"PolicyResolvedNoChange")</f>
        <v>11</v>
      </c>
      <c r="Q41" s="6">
        <f>COUNTIFS('post-audit-active-backlog-statu'!$D$2:$D$6824,M41,'post-audit-active-backlog-statu'!$G$2:$G$6824,"BlocksOnlyThisDomain")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COUNTIF('post-audit-active-backlog-statu'!$D$2:$D$6824,M42)</f>
        <v>29</v>
      </c>
      <c r="O42" s="6">
        <f>COUNTIFS('post-audit-active-backlog-statu'!$D$2:$D$6824,M42,'post-audit-active-backlog-statu'!$G$2:$G$6824,"Fixed")</f>
        <v>8</v>
      </c>
      <c r="P42" s="6">
        <f>COUNTIFS('post-audit-active-backlog-statu'!$D$2:$D$6824,M42,'post-audit-active-backlog-statu'!$G$2:$G$6824,"ReviewedNoChange")+COUNTIFS('post-audit-active-backlog-statu'!$D$2:$D$6824,M42,'post-audit-active-backlog-statu'!$G$2:$G$6824,"SafeNoChange")+COUNTIFS('post-audit-active-backlog-statu'!$D$2:$D$6824,M42,'post-audit-active-backlog-statu'!$G$2:$G$6824,"PolicyResolvedNoChange")</f>
        <v>17</v>
      </c>
      <c r="Q42" s="6">
        <f>COUNTIFS('post-audit-active-backlog-statu'!$D$2:$D$6824,M42,'post-audit-active-backlog-statu'!$G$2:$G$6824,"BlocksOnlyThisDomain")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COUNTIF('post-audit-active-backlog-statu'!$D$2:$D$6824,M43)</f>
        <v>29</v>
      </c>
      <c r="O43" s="6">
        <f>COUNTIFS('post-audit-active-backlog-statu'!$D$2:$D$6824,M43,'post-audit-active-backlog-statu'!$G$2:$G$6824,"Fixed")</f>
        <v>8</v>
      </c>
      <c r="P43" s="6">
        <f>COUNTIFS('post-audit-active-backlog-statu'!$D$2:$D$6824,M43,'post-audit-active-backlog-statu'!$G$2:$G$6824,"ReviewedNoChange")+COUNTIFS('post-audit-active-backlog-statu'!$D$2:$D$6824,M43,'post-audit-active-backlog-statu'!$G$2:$G$6824,"SafeNoChange")+COUNTIFS('post-audit-active-backlog-statu'!$D$2:$D$6824,M43,'post-audit-active-backlog-statu'!$G$2:$G$6824,"PolicyResolvedNoChange")</f>
        <v>17</v>
      </c>
      <c r="Q43" s="6">
        <f>COUNTIFS('post-audit-active-backlog-statu'!$D$2:$D$6824,M43,'post-audit-active-backlog-statu'!$G$2:$G$6824,"BlocksOnlyThisDomain")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COUNTIF('post-audit-active-backlog-statu'!$D$2:$D$6824,M44)</f>
        <v>28</v>
      </c>
      <c r="O44" s="6">
        <f>COUNTIFS('post-audit-active-backlog-statu'!$D$2:$D$6824,M44,'post-audit-active-backlog-statu'!$G$2:$G$6824,"Fixed")</f>
        <v>24</v>
      </c>
      <c r="P44" s="6">
        <f>COUNTIFS('post-audit-active-backlog-statu'!$D$2:$D$6824,M44,'post-audit-active-backlog-statu'!$G$2:$G$6824,"ReviewedNoChange")+COUNTIFS('post-audit-active-backlog-statu'!$D$2:$D$6824,M44,'post-audit-active-backlog-statu'!$G$2:$G$6824,"SafeNoChange")+COUNTIFS('post-audit-active-backlog-statu'!$D$2:$D$6824,M44,'post-audit-active-backlog-statu'!$G$2:$G$6824,"PolicyResolvedNoChange")</f>
        <v>4</v>
      </c>
      <c r="Q44" s="6">
        <f>COUNTIFS('post-audit-active-backlog-statu'!$D$2:$D$6824,M44,'post-audit-active-backlog-statu'!$G$2:$G$6824,"BlocksOnlyThisDomain")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COUNTIF('post-audit-active-backlog-statu'!$D$2:$D$6824,M45)</f>
        <v>27</v>
      </c>
      <c r="O45" s="6">
        <f>COUNTIFS('post-audit-active-backlog-statu'!$D$2:$D$6824,M45,'post-audit-active-backlog-statu'!$G$2:$G$6824,"Fixed")</f>
        <v>25</v>
      </c>
      <c r="P45" s="6">
        <f>COUNTIFS('post-audit-active-backlog-statu'!$D$2:$D$6824,M45,'post-audit-active-backlog-statu'!$G$2:$G$6824,"ReviewedNoChange")+COUNTIFS('post-audit-active-backlog-statu'!$D$2:$D$6824,M45,'post-audit-active-backlog-statu'!$G$2:$G$6824,"SafeNoChange")+COUNTIFS('post-audit-active-backlog-statu'!$D$2:$D$6824,M45,'post-audit-active-backlog-statu'!$G$2:$G$6824,"PolicyResolvedNoChange")</f>
        <v>0</v>
      </c>
      <c r="Q45" s="6">
        <f>COUNTIFS('post-audit-active-backlog-statu'!$D$2:$D$6824,M45,'post-audit-active-backlog-statu'!$G$2:$G$6824,"BlocksOnlyThisDomain")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COUNTIF('post-audit-active-backlog-statu'!$D$2:$D$6824,M46)</f>
        <v>27</v>
      </c>
      <c r="O46" s="6">
        <f>COUNTIFS('post-audit-active-backlog-statu'!$D$2:$D$6824,M46,'post-audit-active-backlog-statu'!$G$2:$G$6824,"Fixed")</f>
        <v>2</v>
      </c>
      <c r="P46" s="6">
        <f>COUNTIFS('post-audit-active-backlog-statu'!$D$2:$D$6824,M46,'post-audit-active-backlog-statu'!$G$2:$G$6824,"ReviewedNoChange")+COUNTIFS('post-audit-active-backlog-statu'!$D$2:$D$6824,M46,'post-audit-active-backlog-statu'!$G$2:$G$6824,"SafeNoChange")+COUNTIFS('post-audit-active-backlog-statu'!$D$2:$D$6824,M46,'post-audit-active-backlog-statu'!$G$2:$G$6824,"PolicyResolvedNoChange")</f>
        <v>24</v>
      </c>
      <c r="Q46" s="6">
        <f>COUNTIFS('post-audit-active-backlog-statu'!$D$2:$D$6824,M46,'post-audit-active-backlog-statu'!$G$2:$G$6824,"BlocksOnlyThisDomain")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COUNTIF('post-audit-active-backlog-statu'!$D$2:$D$6824,M47)</f>
        <v>25</v>
      </c>
      <c r="O47" s="6">
        <f>COUNTIFS('post-audit-active-backlog-statu'!$D$2:$D$6824,M47,'post-audit-active-backlog-statu'!$G$2:$G$6824,"Fixed")</f>
        <v>8</v>
      </c>
      <c r="P47" s="6">
        <f>COUNTIFS('post-audit-active-backlog-statu'!$D$2:$D$6824,M47,'post-audit-active-backlog-statu'!$G$2:$G$6824,"ReviewedNoChange")+COUNTIFS('post-audit-active-backlog-statu'!$D$2:$D$6824,M47,'post-audit-active-backlog-statu'!$G$2:$G$6824,"SafeNoChange")+COUNTIFS('post-audit-active-backlog-statu'!$D$2:$D$6824,M47,'post-audit-active-backlog-statu'!$G$2:$G$6824,"PolicyResolvedNoChange")</f>
        <v>1</v>
      </c>
      <c r="Q47" s="6">
        <f>COUNTIFS('post-audit-active-backlog-statu'!$D$2:$D$6824,M47,'post-audit-active-backlog-statu'!$G$2:$G$6824,"BlocksOnlyThisDomain")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COUNTIF('post-audit-active-backlog-statu'!$D$2:$D$6824,M48)</f>
        <v>24</v>
      </c>
      <c r="O48" s="6">
        <f>COUNTIFS('post-audit-active-backlog-statu'!$D$2:$D$6824,M48,'post-audit-active-backlog-statu'!$G$2:$G$6824,"Fixed")</f>
        <v>16</v>
      </c>
      <c r="P48" s="6">
        <f>COUNTIFS('post-audit-active-backlog-statu'!$D$2:$D$6824,M48,'post-audit-active-backlog-statu'!$G$2:$G$6824,"ReviewedNoChange")+COUNTIFS('post-audit-active-backlog-statu'!$D$2:$D$6824,M48,'post-audit-active-backlog-statu'!$G$2:$G$6824,"SafeNoChange")+COUNTIFS('post-audit-active-backlog-statu'!$D$2:$D$6824,M48,'post-audit-active-backlog-statu'!$G$2:$G$6824,"PolicyResolvedNoChange")</f>
        <v>8</v>
      </c>
      <c r="Q48" s="6">
        <f>COUNTIFS('post-audit-active-backlog-statu'!$D$2:$D$6824,M48,'post-audit-active-backlog-statu'!$G$2:$G$6824,"BlocksOnlyThisDomain")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COUNTIF('post-audit-active-backlog-statu'!$D$2:$D$6824,M49)</f>
        <v>24</v>
      </c>
      <c r="O49" s="6">
        <f>COUNTIFS('post-audit-active-backlog-statu'!$D$2:$D$6824,M49,'post-audit-active-backlog-statu'!$G$2:$G$6824,"Fixed")</f>
        <v>13</v>
      </c>
      <c r="P49" s="6">
        <f>COUNTIFS('post-audit-active-backlog-statu'!$D$2:$D$6824,M49,'post-audit-active-backlog-statu'!$G$2:$G$6824,"ReviewedNoChange")+COUNTIFS('post-audit-active-backlog-statu'!$D$2:$D$6824,M49,'post-audit-active-backlog-statu'!$G$2:$G$6824,"SafeNoChange")+COUNTIFS('post-audit-active-backlog-statu'!$D$2:$D$6824,M49,'post-audit-active-backlog-statu'!$G$2:$G$6824,"PolicyResolvedNoChange")</f>
        <v>11</v>
      </c>
      <c r="Q49" s="6">
        <f>COUNTIFS('post-audit-active-backlog-statu'!$D$2:$D$6824,M49,'post-audit-active-backlog-statu'!$G$2:$G$6824,"BlocksOnlyThisDomain")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COUNTIF('post-audit-active-backlog-statu'!$D$2:$D$6824,M50)</f>
        <v>23</v>
      </c>
      <c r="O50" s="6">
        <f>COUNTIFS('post-audit-active-backlog-statu'!$D$2:$D$6824,M50,'post-audit-active-backlog-statu'!$G$2:$G$6824,"Fixed")</f>
        <v>2</v>
      </c>
      <c r="P50" s="6">
        <f>COUNTIFS('post-audit-active-backlog-statu'!$D$2:$D$6824,M50,'post-audit-active-backlog-statu'!$G$2:$G$6824,"ReviewedNoChange")+COUNTIFS('post-audit-active-backlog-statu'!$D$2:$D$6824,M50,'post-audit-active-backlog-statu'!$G$2:$G$6824,"SafeNoChange")+COUNTIFS('post-audit-active-backlog-statu'!$D$2:$D$6824,M50,'post-audit-active-backlog-statu'!$G$2:$G$6824,"PolicyResolvedNoChange")</f>
        <v>10</v>
      </c>
      <c r="Q50" s="6">
        <f>COUNTIFS('post-audit-active-backlog-statu'!$D$2:$D$6824,M50,'post-audit-active-backlog-statu'!$G$2:$G$6824,"BlocksOnlyThisDomain")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COUNTIF('post-audit-active-backlog-statu'!$D$2:$D$6824,M51)</f>
        <v>21</v>
      </c>
      <c r="O51" s="6">
        <f>COUNTIFS('post-audit-active-backlog-statu'!$D$2:$D$6824,M51,'post-audit-active-backlog-statu'!$G$2:$G$6824,"Fixed")</f>
        <v>14</v>
      </c>
      <c r="P51" s="6">
        <f>COUNTIFS('post-audit-active-backlog-statu'!$D$2:$D$6824,M51,'post-audit-active-backlog-statu'!$G$2:$G$6824,"ReviewedNoChange")+COUNTIFS('post-audit-active-backlog-statu'!$D$2:$D$6824,M51,'post-audit-active-backlog-statu'!$G$2:$G$6824,"SafeNoChange")+COUNTIFS('post-audit-active-backlog-statu'!$D$2:$D$6824,M51,'post-audit-active-backlog-statu'!$G$2:$G$6824,"PolicyResolvedNoChange")</f>
        <v>4</v>
      </c>
      <c r="Q51" s="6">
        <f>COUNTIFS('post-audit-active-backlog-statu'!$D$2:$D$6824,M51,'post-audit-active-backlog-statu'!$G$2:$G$6824,"BlocksOnlyThisDomain")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COUNTIF('post-audit-active-backlog-statu'!$D$2:$D$6824,M52)</f>
        <v>21</v>
      </c>
      <c r="O52" s="6">
        <f>COUNTIFS('post-audit-active-backlog-statu'!$D$2:$D$6824,M52,'post-audit-active-backlog-statu'!$G$2:$G$6824,"Fixed")</f>
        <v>5</v>
      </c>
      <c r="P52" s="6">
        <f>COUNTIFS('post-audit-active-backlog-statu'!$D$2:$D$6824,M52,'post-audit-active-backlog-statu'!$G$2:$G$6824,"ReviewedNoChange")+COUNTIFS('post-audit-active-backlog-statu'!$D$2:$D$6824,M52,'post-audit-active-backlog-statu'!$G$2:$G$6824,"SafeNoChange")+COUNTIFS('post-audit-active-backlog-statu'!$D$2:$D$6824,M52,'post-audit-active-backlog-statu'!$G$2:$G$6824,"PolicyResolvedNoChange")</f>
        <v>0</v>
      </c>
      <c r="Q52" s="6">
        <f>COUNTIFS('post-audit-active-backlog-statu'!$D$2:$D$6824,M52,'post-audit-active-backlog-statu'!$G$2:$G$6824,"BlocksOnlyThisDomain")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COUNTIF('post-audit-active-backlog-statu'!$D$2:$D$6824,M53)</f>
        <v>21</v>
      </c>
      <c r="O53" s="6">
        <f>COUNTIFS('post-audit-active-backlog-statu'!$D$2:$D$6824,M53,'post-audit-active-backlog-statu'!$G$2:$G$6824,"Fixed")</f>
        <v>1</v>
      </c>
      <c r="P53" s="6">
        <f>COUNTIFS('post-audit-active-backlog-statu'!$D$2:$D$6824,M53,'post-audit-active-backlog-statu'!$G$2:$G$6824,"ReviewedNoChange")+COUNTIFS('post-audit-active-backlog-statu'!$D$2:$D$6824,M53,'post-audit-active-backlog-statu'!$G$2:$G$6824,"SafeNoChange")+COUNTIFS('post-audit-active-backlog-statu'!$D$2:$D$6824,M53,'post-audit-active-backlog-statu'!$G$2:$G$6824,"PolicyResolvedNoChange")</f>
        <v>11</v>
      </c>
      <c r="Q53" s="6">
        <f>COUNTIFS('post-audit-active-backlog-statu'!$D$2:$D$6824,M53,'post-audit-active-backlog-statu'!$G$2:$G$6824,"BlocksOnlyThisDomain")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COUNTIF('post-audit-active-backlog-statu'!$D$2:$D$6824,M54)</f>
        <v>20</v>
      </c>
      <c r="O54" s="6">
        <f>COUNTIFS('post-audit-active-backlog-statu'!$D$2:$D$6824,M54,'post-audit-active-backlog-statu'!$G$2:$G$6824,"Fixed")</f>
        <v>1</v>
      </c>
      <c r="P54" s="6">
        <f>COUNTIFS('post-audit-active-backlog-statu'!$D$2:$D$6824,M54,'post-audit-active-backlog-statu'!$G$2:$G$6824,"ReviewedNoChange")+COUNTIFS('post-audit-active-backlog-statu'!$D$2:$D$6824,M54,'post-audit-active-backlog-statu'!$G$2:$G$6824,"SafeNoChange")+COUNTIFS('post-audit-active-backlog-statu'!$D$2:$D$6824,M54,'post-audit-active-backlog-statu'!$G$2:$G$6824,"PolicyResolvedNoChange")</f>
        <v>17</v>
      </c>
      <c r="Q54" s="6">
        <f>COUNTIFS('post-audit-active-backlog-statu'!$D$2:$D$6824,M54,'post-audit-active-backlog-statu'!$G$2:$G$6824,"BlocksOnlyThisDomain")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COUNTIF('post-audit-active-backlog-statu'!$D$2:$D$6824,M55)</f>
        <v>20</v>
      </c>
      <c r="O55" s="6">
        <f>COUNTIFS('post-audit-active-backlog-statu'!$D$2:$D$6824,M55,'post-audit-active-backlog-statu'!$G$2:$G$6824,"Fixed")</f>
        <v>20</v>
      </c>
      <c r="P55" s="6">
        <f>COUNTIFS('post-audit-active-backlog-statu'!$D$2:$D$6824,M55,'post-audit-active-backlog-statu'!$G$2:$G$6824,"ReviewedNoChange")+COUNTIFS('post-audit-active-backlog-statu'!$D$2:$D$6824,M55,'post-audit-active-backlog-statu'!$G$2:$G$6824,"SafeNoChange")+COUNTIFS('post-audit-active-backlog-statu'!$D$2:$D$6824,M55,'post-audit-active-backlog-statu'!$G$2:$G$6824,"PolicyResolvedNoChange")</f>
        <v>0</v>
      </c>
      <c r="Q55" s="6">
        <f>COUNTIFS('post-audit-active-backlog-statu'!$D$2:$D$6824,M55,'post-audit-active-backlog-statu'!$G$2:$G$6824,"BlocksOnlyThisDomain")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COUNTIF('post-audit-active-backlog-statu'!$D$2:$D$6824,M56)</f>
        <v>20</v>
      </c>
      <c r="O56" s="6">
        <f>COUNTIFS('post-audit-active-backlog-statu'!$D$2:$D$6824,M56,'post-audit-active-backlog-statu'!$G$2:$G$6824,"Fixed")</f>
        <v>2</v>
      </c>
      <c r="P56" s="6">
        <f>COUNTIFS('post-audit-active-backlog-statu'!$D$2:$D$6824,M56,'post-audit-active-backlog-statu'!$G$2:$G$6824,"ReviewedNoChange")+COUNTIFS('post-audit-active-backlog-statu'!$D$2:$D$6824,M56,'post-audit-active-backlog-statu'!$G$2:$G$6824,"SafeNoChange")+COUNTIFS('post-audit-active-backlog-statu'!$D$2:$D$6824,M56,'post-audit-active-backlog-statu'!$G$2:$G$6824,"PolicyResolvedNoChange")</f>
        <v>2</v>
      </c>
      <c r="Q56" s="6">
        <f>COUNTIFS('post-audit-active-backlog-statu'!$D$2:$D$6824,M56,'post-audit-active-backlog-statu'!$G$2:$G$6824,"BlocksOnlyThisDomain")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COUNTIF('post-audit-active-backlog-statu'!$D$2:$D$6824,M57)</f>
        <v>18</v>
      </c>
      <c r="O57" s="6">
        <f>COUNTIFS('post-audit-active-backlog-statu'!$D$2:$D$6824,M57,'post-audit-active-backlog-statu'!$G$2:$G$6824,"Fixed")</f>
        <v>9</v>
      </c>
      <c r="P57" s="6">
        <f>COUNTIFS('post-audit-active-backlog-statu'!$D$2:$D$6824,M57,'post-audit-active-backlog-statu'!$G$2:$G$6824,"ReviewedNoChange")+COUNTIFS('post-audit-active-backlog-statu'!$D$2:$D$6824,M57,'post-audit-active-backlog-statu'!$G$2:$G$6824,"SafeNoChange")+COUNTIFS('post-audit-active-backlog-statu'!$D$2:$D$6824,M57,'post-audit-active-backlog-statu'!$G$2:$G$6824,"PolicyResolvedNoChange")</f>
        <v>6</v>
      </c>
      <c r="Q57" s="6">
        <f>COUNTIFS('post-audit-active-backlog-statu'!$D$2:$D$6824,M57,'post-audit-active-backlog-statu'!$G$2:$G$6824,"BlocksOnlyThisDomain")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COUNTIF('post-audit-active-backlog-statu'!$D$2:$D$6824,M58)</f>
        <v>18</v>
      </c>
      <c r="O58" s="6">
        <f>COUNTIFS('post-audit-active-backlog-statu'!$D$2:$D$6824,M58,'post-audit-active-backlog-statu'!$G$2:$G$6824,"Fixed")</f>
        <v>1</v>
      </c>
      <c r="P58" s="6">
        <f>COUNTIFS('post-audit-active-backlog-statu'!$D$2:$D$6824,M58,'post-audit-active-backlog-statu'!$G$2:$G$6824,"ReviewedNoChange")+COUNTIFS('post-audit-active-backlog-statu'!$D$2:$D$6824,M58,'post-audit-active-backlog-statu'!$G$2:$G$6824,"SafeNoChange")+COUNTIFS('post-audit-active-backlog-statu'!$D$2:$D$6824,M58,'post-audit-active-backlog-statu'!$G$2:$G$6824,"PolicyResolvedNoChange")</f>
        <v>13</v>
      </c>
      <c r="Q58" s="6">
        <f>COUNTIFS('post-audit-active-backlog-statu'!$D$2:$D$6824,M58,'post-audit-active-backlog-statu'!$G$2:$G$6824,"BlocksOnlyThisDomain")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COUNTIF('post-audit-active-backlog-statu'!$D$2:$D$6824,M59)</f>
        <v>18</v>
      </c>
      <c r="O59" s="6">
        <f>COUNTIFS('post-audit-active-backlog-statu'!$D$2:$D$6824,M59,'post-audit-active-backlog-statu'!$G$2:$G$6824,"Fixed")</f>
        <v>18</v>
      </c>
      <c r="P59" s="6">
        <f>COUNTIFS('post-audit-active-backlog-statu'!$D$2:$D$6824,M59,'post-audit-active-backlog-statu'!$G$2:$G$6824,"ReviewedNoChange")+COUNTIFS('post-audit-active-backlog-statu'!$D$2:$D$6824,M59,'post-audit-active-backlog-statu'!$G$2:$G$6824,"SafeNoChange")+COUNTIFS('post-audit-active-backlog-statu'!$D$2:$D$6824,M59,'post-audit-active-backlog-statu'!$G$2:$G$6824,"PolicyResolvedNoChange")</f>
        <v>0</v>
      </c>
      <c r="Q59" s="6">
        <f>COUNTIFS('post-audit-active-backlog-statu'!$D$2:$D$6824,M59,'post-audit-active-backlog-statu'!$G$2:$G$6824,"BlocksOnlyThisDomain")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COUNTIF('post-audit-active-backlog-statu'!$D$2:$D$6824,M60)</f>
        <v>17</v>
      </c>
      <c r="O60" s="6">
        <f>COUNTIFS('post-audit-active-backlog-statu'!$D$2:$D$6824,M60,'post-audit-active-backlog-statu'!$G$2:$G$6824,"Fixed")</f>
        <v>0</v>
      </c>
      <c r="P60" s="6">
        <f>COUNTIFS('post-audit-active-backlog-statu'!$D$2:$D$6824,M60,'post-audit-active-backlog-statu'!$G$2:$G$6824,"ReviewedNoChange")+COUNTIFS('post-audit-active-backlog-statu'!$D$2:$D$6824,M60,'post-audit-active-backlog-statu'!$G$2:$G$6824,"SafeNoChange")+COUNTIFS('post-audit-active-backlog-statu'!$D$2:$D$6824,M60,'post-audit-active-backlog-statu'!$G$2:$G$6824,"PolicyResolvedNoChange")</f>
        <v>0</v>
      </c>
      <c r="Q60" s="6">
        <f>COUNTIFS('post-audit-active-backlog-statu'!$D$2:$D$6824,M60,'post-audit-active-backlog-statu'!$G$2:$G$6824,"BlocksOnlyThisDomain")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COUNTIF('post-audit-active-backlog-statu'!$D$2:$D$6824,M61)</f>
        <v>16</v>
      </c>
      <c r="O61" s="6">
        <f>COUNTIFS('post-audit-active-backlog-statu'!$D$2:$D$6824,M61,'post-audit-active-backlog-statu'!$G$2:$G$6824,"Fixed")</f>
        <v>13</v>
      </c>
      <c r="P61" s="6">
        <f>COUNTIFS('post-audit-active-backlog-statu'!$D$2:$D$6824,M61,'post-audit-active-backlog-statu'!$G$2:$G$6824,"ReviewedNoChange")+COUNTIFS('post-audit-active-backlog-statu'!$D$2:$D$6824,M61,'post-audit-active-backlog-statu'!$G$2:$G$6824,"SafeNoChange")+COUNTIFS('post-audit-active-backlog-statu'!$D$2:$D$6824,M61,'post-audit-active-backlog-statu'!$G$2:$G$6824,"PolicyResolvedNoChange")</f>
        <v>3</v>
      </c>
      <c r="Q61" s="6">
        <f>COUNTIFS('post-audit-active-backlog-statu'!$D$2:$D$6824,M61,'post-audit-active-backlog-statu'!$G$2:$G$6824,"BlocksOnlyThisDomain")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COUNTIF('post-audit-active-backlog-statu'!$D$2:$D$6824,M62)</f>
        <v>14</v>
      </c>
      <c r="O62" s="6">
        <f>COUNTIFS('post-audit-active-backlog-statu'!$D$2:$D$6824,M62,'post-audit-active-backlog-statu'!$G$2:$G$6824,"Fixed")</f>
        <v>6</v>
      </c>
      <c r="P62" s="6">
        <f>COUNTIFS('post-audit-active-backlog-statu'!$D$2:$D$6824,M62,'post-audit-active-backlog-statu'!$G$2:$G$6824,"ReviewedNoChange")+COUNTIFS('post-audit-active-backlog-statu'!$D$2:$D$6824,M62,'post-audit-active-backlog-statu'!$G$2:$G$6824,"SafeNoChange")+COUNTIFS('post-audit-active-backlog-statu'!$D$2:$D$6824,M62,'post-audit-active-backlog-statu'!$G$2:$G$6824,"PolicyResolvedNoChange")</f>
        <v>6</v>
      </c>
      <c r="Q62" s="6">
        <f>COUNTIFS('post-audit-active-backlog-statu'!$D$2:$D$6824,M62,'post-audit-active-backlog-statu'!$G$2:$G$6824,"BlocksOnlyThisDomain")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COUNTIF('post-audit-active-backlog-statu'!$D$2:$D$6824,M63)</f>
        <v>14</v>
      </c>
      <c r="O63" s="6">
        <f>COUNTIFS('post-audit-active-backlog-statu'!$D$2:$D$6824,M63,'post-audit-active-backlog-statu'!$G$2:$G$6824,"Fixed")</f>
        <v>12</v>
      </c>
      <c r="P63" s="6">
        <f>COUNTIFS('post-audit-active-backlog-statu'!$D$2:$D$6824,M63,'post-audit-active-backlog-statu'!$G$2:$G$6824,"ReviewedNoChange")+COUNTIFS('post-audit-active-backlog-statu'!$D$2:$D$6824,M63,'post-audit-active-backlog-statu'!$G$2:$G$6824,"SafeNoChange")+COUNTIFS('post-audit-active-backlog-statu'!$D$2:$D$6824,M63,'post-audit-active-backlog-statu'!$G$2:$G$6824,"PolicyResolvedNoChange")</f>
        <v>1</v>
      </c>
      <c r="Q63" s="6">
        <f>COUNTIFS('post-audit-active-backlog-statu'!$D$2:$D$6824,M63,'post-audit-active-backlog-statu'!$G$2:$G$6824,"BlocksOnlyThisDomain")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COUNTIF('post-audit-active-backlog-statu'!$D$2:$D$6824,M64)</f>
        <v>13</v>
      </c>
      <c r="O64" s="6">
        <f>COUNTIFS('post-audit-active-backlog-statu'!$D$2:$D$6824,M64,'post-audit-active-backlog-statu'!$G$2:$G$6824,"Fixed")</f>
        <v>1</v>
      </c>
      <c r="P64" s="6">
        <f>COUNTIFS('post-audit-active-backlog-statu'!$D$2:$D$6824,M64,'post-audit-active-backlog-statu'!$G$2:$G$6824,"ReviewedNoChange")+COUNTIFS('post-audit-active-backlog-statu'!$D$2:$D$6824,M64,'post-audit-active-backlog-statu'!$G$2:$G$6824,"SafeNoChange")+COUNTIFS('post-audit-active-backlog-statu'!$D$2:$D$6824,M64,'post-audit-active-backlog-statu'!$G$2:$G$6824,"PolicyResolvedNoChange")</f>
        <v>11</v>
      </c>
      <c r="Q64" s="6">
        <f>COUNTIFS('post-audit-active-backlog-statu'!$D$2:$D$6824,M64,'post-audit-active-backlog-statu'!$G$2:$G$6824,"BlocksOnlyThisDomain")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COUNTIF('post-audit-active-backlog-statu'!$D$2:$D$6824,M65)</f>
        <v>13</v>
      </c>
      <c r="O65" s="6">
        <f>COUNTIFS('post-audit-active-backlog-statu'!$D$2:$D$6824,M65,'post-audit-active-backlog-statu'!$G$2:$G$6824,"Fixed")</f>
        <v>13</v>
      </c>
      <c r="P65" s="6">
        <f>COUNTIFS('post-audit-active-backlog-statu'!$D$2:$D$6824,M65,'post-audit-active-backlog-statu'!$G$2:$G$6824,"ReviewedNoChange")+COUNTIFS('post-audit-active-backlog-statu'!$D$2:$D$6824,M65,'post-audit-active-backlog-statu'!$G$2:$G$6824,"SafeNoChange")+COUNTIFS('post-audit-active-backlog-statu'!$D$2:$D$6824,M65,'post-audit-active-backlog-statu'!$G$2:$G$6824,"PolicyResolvedNoChange")</f>
        <v>0</v>
      </c>
      <c r="Q65" s="6">
        <f>COUNTIFS('post-audit-active-backlog-statu'!$D$2:$D$6824,M65,'post-audit-active-backlog-statu'!$G$2:$G$6824,"BlocksOnlyThisDomain")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COUNTIF('post-audit-active-backlog-statu'!$D$2:$D$6824,M66)</f>
        <v>13</v>
      </c>
      <c r="O66" s="6">
        <f>COUNTIFS('post-audit-active-backlog-statu'!$D$2:$D$6824,M66,'post-audit-active-backlog-statu'!$G$2:$G$6824,"Fixed")</f>
        <v>4</v>
      </c>
      <c r="P66" s="6">
        <f>COUNTIFS('post-audit-active-backlog-statu'!$D$2:$D$6824,M66,'post-audit-active-backlog-statu'!$G$2:$G$6824,"ReviewedNoChange")+COUNTIFS('post-audit-active-backlog-statu'!$D$2:$D$6824,M66,'post-audit-active-backlog-statu'!$G$2:$G$6824,"SafeNoChange")+COUNTIFS('post-audit-active-backlog-statu'!$D$2:$D$6824,M66,'post-audit-active-backlog-statu'!$G$2:$G$6824,"PolicyResolvedNoChange")</f>
        <v>8</v>
      </c>
      <c r="Q66" s="6">
        <f>COUNTIFS('post-audit-active-backlog-statu'!$D$2:$D$6824,M66,'post-audit-active-backlog-statu'!$G$2:$G$6824,"BlocksOnlyThisDomain")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COUNTIF('post-audit-active-backlog-statu'!$D$2:$D$6824,M67)</f>
        <v>13</v>
      </c>
      <c r="O67" s="6">
        <f>COUNTIFS('post-audit-active-backlog-statu'!$D$2:$D$6824,M67,'post-audit-active-backlog-statu'!$G$2:$G$6824,"Fixed")</f>
        <v>5</v>
      </c>
      <c r="P67" s="6">
        <f>COUNTIFS('post-audit-active-backlog-statu'!$D$2:$D$6824,M67,'post-audit-active-backlog-statu'!$G$2:$G$6824,"ReviewedNoChange")+COUNTIFS('post-audit-active-backlog-statu'!$D$2:$D$6824,M67,'post-audit-active-backlog-statu'!$G$2:$G$6824,"SafeNoChange")+COUNTIFS('post-audit-active-backlog-statu'!$D$2:$D$6824,M67,'post-audit-active-backlog-statu'!$G$2:$G$6824,"PolicyResolvedNoChange")</f>
        <v>5</v>
      </c>
      <c r="Q67" s="6">
        <f>COUNTIFS('post-audit-active-backlog-statu'!$D$2:$D$6824,M67,'post-audit-active-backlog-statu'!$G$2:$G$6824,"BlocksOnlyThisDomain")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COUNTIF('post-audit-active-backlog-statu'!$D$2:$D$6824,M68)</f>
        <v>13</v>
      </c>
      <c r="O68" s="6">
        <f>COUNTIFS('post-audit-active-backlog-statu'!$D$2:$D$6824,M68,'post-audit-active-backlog-statu'!$G$2:$G$6824,"Fixed")</f>
        <v>0</v>
      </c>
      <c r="P68" s="6">
        <f>COUNTIFS('post-audit-active-backlog-statu'!$D$2:$D$6824,M68,'post-audit-active-backlog-statu'!$G$2:$G$6824,"ReviewedNoChange")+COUNTIFS('post-audit-active-backlog-statu'!$D$2:$D$6824,M68,'post-audit-active-backlog-statu'!$G$2:$G$6824,"SafeNoChange")+COUNTIFS('post-audit-active-backlog-statu'!$D$2:$D$6824,M68,'post-audit-active-backlog-statu'!$G$2:$G$6824,"PolicyResolvedNoChange")</f>
        <v>13</v>
      </c>
      <c r="Q68" s="6">
        <f>COUNTIFS('post-audit-active-backlog-statu'!$D$2:$D$6824,M68,'post-audit-active-backlog-statu'!$G$2:$G$6824,"BlocksOnlyThisDomain")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COUNTIF('post-audit-active-backlog-statu'!$D$2:$D$6824,M69)</f>
        <v>12</v>
      </c>
      <c r="O69" s="6">
        <f>COUNTIFS('post-audit-active-backlog-statu'!$D$2:$D$6824,M69,'post-audit-active-backlog-statu'!$G$2:$G$6824,"Fixed")</f>
        <v>11</v>
      </c>
      <c r="P69" s="6">
        <f>COUNTIFS('post-audit-active-backlog-statu'!$D$2:$D$6824,M69,'post-audit-active-backlog-statu'!$G$2:$G$6824,"ReviewedNoChange")+COUNTIFS('post-audit-active-backlog-statu'!$D$2:$D$6824,M69,'post-audit-active-backlog-statu'!$G$2:$G$6824,"SafeNoChange")+COUNTIFS('post-audit-active-backlog-statu'!$D$2:$D$6824,M69,'post-audit-active-backlog-statu'!$G$2:$G$6824,"PolicyResolvedNoChange")</f>
        <v>0</v>
      </c>
      <c r="Q69" s="6">
        <f>COUNTIFS('post-audit-active-backlog-statu'!$D$2:$D$6824,M69,'post-audit-active-backlog-statu'!$G$2:$G$6824,"BlocksOnlyThisDomain")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COUNTIF('post-audit-active-backlog-statu'!$D$2:$D$6824,M70)</f>
        <v>12</v>
      </c>
      <c r="O70" s="6">
        <f>COUNTIFS('post-audit-active-backlog-statu'!$D$2:$D$6824,M70,'post-audit-active-backlog-statu'!$G$2:$G$6824,"Fixed")</f>
        <v>12</v>
      </c>
      <c r="P70" s="6">
        <f>COUNTIFS('post-audit-active-backlog-statu'!$D$2:$D$6824,M70,'post-audit-active-backlog-statu'!$G$2:$G$6824,"ReviewedNoChange")+COUNTIFS('post-audit-active-backlog-statu'!$D$2:$D$6824,M70,'post-audit-active-backlog-statu'!$G$2:$G$6824,"SafeNoChange")+COUNTIFS('post-audit-active-backlog-statu'!$D$2:$D$6824,M70,'post-audit-active-backlog-statu'!$G$2:$G$6824,"PolicyResolvedNoChange")</f>
        <v>0</v>
      </c>
      <c r="Q70" s="6">
        <f>COUNTIFS('post-audit-active-backlog-statu'!$D$2:$D$6824,M70,'post-audit-active-backlog-statu'!$G$2:$G$6824,"BlocksOnlyThisDomain")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COUNTIF('post-audit-active-backlog-statu'!$D$2:$D$6824,M71)</f>
        <v>12</v>
      </c>
      <c r="O71" s="6">
        <f>COUNTIFS('post-audit-active-backlog-statu'!$D$2:$D$6824,M71,'post-audit-active-backlog-statu'!$G$2:$G$6824,"Fixed")</f>
        <v>2</v>
      </c>
      <c r="P71" s="6">
        <f>COUNTIFS('post-audit-active-backlog-statu'!$D$2:$D$6824,M71,'post-audit-active-backlog-statu'!$G$2:$G$6824,"ReviewedNoChange")+COUNTIFS('post-audit-active-backlog-statu'!$D$2:$D$6824,M71,'post-audit-active-backlog-statu'!$G$2:$G$6824,"SafeNoChange")+COUNTIFS('post-audit-active-backlog-statu'!$D$2:$D$6824,M71,'post-audit-active-backlog-statu'!$G$2:$G$6824,"PolicyResolvedNoChange")</f>
        <v>10</v>
      </c>
      <c r="Q71" s="6">
        <f>COUNTIFS('post-audit-active-backlog-statu'!$D$2:$D$6824,M71,'post-audit-active-backlog-statu'!$G$2:$G$6824,"BlocksOnlyThisDomain")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COUNTIF('post-audit-active-backlog-statu'!$D$2:$D$6824,M72)</f>
        <v>11</v>
      </c>
      <c r="O72" s="6">
        <f>COUNTIFS('post-audit-active-backlog-statu'!$D$2:$D$6824,M72,'post-audit-active-backlog-statu'!$G$2:$G$6824,"Fixed")</f>
        <v>6</v>
      </c>
      <c r="P72" s="6">
        <f>COUNTIFS('post-audit-active-backlog-statu'!$D$2:$D$6824,M72,'post-audit-active-backlog-statu'!$G$2:$G$6824,"ReviewedNoChange")+COUNTIFS('post-audit-active-backlog-statu'!$D$2:$D$6824,M72,'post-audit-active-backlog-statu'!$G$2:$G$6824,"SafeNoChange")+COUNTIFS('post-audit-active-backlog-statu'!$D$2:$D$6824,M72,'post-audit-active-backlog-statu'!$G$2:$G$6824,"PolicyResolvedNoChange")</f>
        <v>5</v>
      </c>
      <c r="Q72" s="6">
        <f>COUNTIFS('post-audit-active-backlog-statu'!$D$2:$D$6824,M72,'post-audit-active-backlog-statu'!$G$2:$G$6824,"BlocksOnlyThisDomain")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COUNTIF('post-audit-active-backlog-statu'!$D$2:$D$6824,M73)</f>
        <v>11</v>
      </c>
      <c r="O73" s="6">
        <f>COUNTIFS('post-audit-active-backlog-statu'!$D$2:$D$6824,M73,'post-audit-active-backlog-statu'!$G$2:$G$6824,"Fixed")</f>
        <v>11</v>
      </c>
      <c r="P73" s="6">
        <f>COUNTIFS('post-audit-active-backlog-statu'!$D$2:$D$6824,M73,'post-audit-active-backlog-statu'!$G$2:$G$6824,"ReviewedNoChange")+COUNTIFS('post-audit-active-backlog-statu'!$D$2:$D$6824,M73,'post-audit-active-backlog-statu'!$G$2:$G$6824,"SafeNoChange")+COUNTIFS('post-audit-active-backlog-statu'!$D$2:$D$6824,M73,'post-audit-active-backlog-statu'!$G$2:$G$6824,"PolicyResolvedNoChange")</f>
        <v>0</v>
      </c>
      <c r="Q73" s="6">
        <f>COUNTIFS('post-audit-active-backlog-statu'!$D$2:$D$6824,M73,'post-audit-active-backlog-statu'!$G$2:$G$6824,"BlocksOnlyThisDomain")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COUNTIF('post-audit-active-backlog-statu'!$D$2:$D$6824,M74)</f>
        <v>10</v>
      </c>
      <c r="O74" s="6">
        <f>COUNTIFS('post-audit-active-backlog-statu'!$D$2:$D$6824,M74,'post-audit-active-backlog-statu'!$G$2:$G$6824,"Fixed")</f>
        <v>8</v>
      </c>
      <c r="P74" s="6">
        <f>COUNTIFS('post-audit-active-backlog-statu'!$D$2:$D$6824,M74,'post-audit-active-backlog-statu'!$G$2:$G$6824,"ReviewedNoChange")+COUNTIFS('post-audit-active-backlog-statu'!$D$2:$D$6824,M74,'post-audit-active-backlog-statu'!$G$2:$G$6824,"SafeNoChange")+COUNTIFS('post-audit-active-backlog-statu'!$D$2:$D$6824,M74,'post-audit-active-backlog-statu'!$G$2:$G$6824,"PolicyResolvedNoChange")</f>
        <v>2</v>
      </c>
      <c r="Q74" s="6">
        <f>COUNTIFS('post-audit-active-backlog-statu'!$D$2:$D$6824,M74,'post-audit-active-backlog-statu'!$G$2:$G$6824,"BlocksOnlyThisDomain")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COUNTIF('post-audit-active-backlog-statu'!$D$2:$D$6824,M75)</f>
        <v>10</v>
      </c>
      <c r="O75" s="6">
        <f>COUNTIFS('post-audit-active-backlog-statu'!$D$2:$D$6824,M75,'post-audit-active-backlog-statu'!$G$2:$G$6824,"Fixed")</f>
        <v>7</v>
      </c>
      <c r="P75" s="6">
        <f>COUNTIFS('post-audit-active-backlog-statu'!$D$2:$D$6824,M75,'post-audit-active-backlog-statu'!$G$2:$G$6824,"ReviewedNoChange")+COUNTIFS('post-audit-active-backlog-statu'!$D$2:$D$6824,M75,'post-audit-active-backlog-statu'!$G$2:$G$6824,"SafeNoChange")+COUNTIFS('post-audit-active-backlog-statu'!$D$2:$D$6824,M75,'post-audit-active-backlog-statu'!$G$2:$G$6824,"PolicyResolvedNoChange")</f>
        <v>3</v>
      </c>
      <c r="Q75" s="6">
        <f>COUNTIFS('post-audit-active-backlog-statu'!$D$2:$D$6824,M75,'post-audit-active-backlog-statu'!$G$2:$G$6824,"BlocksOnlyThisDomain")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COUNTIF('post-audit-active-backlog-statu'!$D$2:$D$6824,M76)</f>
        <v>10</v>
      </c>
      <c r="O76" s="6">
        <f>COUNTIFS('post-audit-active-backlog-statu'!$D$2:$D$6824,M76,'post-audit-active-backlog-statu'!$G$2:$G$6824,"Fixed")</f>
        <v>2</v>
      </c>
      <c r="P76" s="6">
        <f>COUNTIFS('post-audit-active-backlog-statu'!$D$2:$D$6824,M76,'post-audit-active-backlog-statu'!$G$2:$G$6824,"ReviewedNoChange")+COUNTIFS('post-audit-active-backlog-statu'!$D$2:$D$6824,M76,'post-audit-active-backlog-statu'!$G$2:$G$6824,"SafeNoChange")+COUNTIFS('post-audit-active-backlog-statu'!$D$2:$D$6824,M76,'post-audit-active-backlog-statu'!$G$2:$G$6824,"PolicyResolvedNoChange")</f>
        <v>3</v>
      </c>
      <c r="Q76" s="6">
        <f>COUNTIFS('post-audit-active-backlog-statu'!$D$2:$D$6824,M76,'post-audit-active-backlog-statu'!$G$2:$G$6824,"BlocksOnlyThisDomain")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COUNTIF('post-audit-active-backlog-statu'!$D$2:$D$6824,M77)</f>
        <v>10</v>
      </c>
      <c r="O77" s="6">
        <f>COUNTIFS('post-audit-active-backlog-statu'!$D$2:$D$6824,M77,'post-audit-active-backlog-statu'!$G$2:$G$6824,"Fixed")</f>
        <v>0</v>
      </c>
      <c r="P77" s="6">
        <f>COUNTIFS('post-audit-active-backlog-statu'!$D$2:$D$6824,M77,'post-audit-active-backlog-statu'!$G$2:$G$6824,"ReviewedNoChange")+COUNTIFS('post-audit-active-backlog-statu'!$D$2:$D$6824,M77,'post-audit-active-backlog-statu'!$G$2:$G$6824,"SafeNoChange")+COUNTIFS('post-audit-active-backlog-statu'!$D$2:$D$6824,M77,'post-audit-active-backlog-statu'!$G$2:$G$6824,"PolicyResolvedNoChange")</f>
        <v>10</v>
      </c>
      <c r="Q77" s="6">
        <f>COUNTIFS('post-audit-active-backlog-statu'!$D$2:$D$6824,M77,'post-audit-active-backlog-statu'!$G$2:$G$6824,"BlocksOnlyThisDomain")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COUNTIF('post-audit-active-backlog-statu'!$D$2:$D$6824,M78)</f>
        <v>9</v>
      </c>
      <c r="O78" s="6">
        <f>COUNTIFS('post-audit-active-backlog-statu'!$D$2:$D$6824,M78,'post-audit-active-backlog-statu'!$G$2:$G$6824,"Fixed")</f>
        <v>3</v>
      </c>
      <c r="P78" s="6">
        <f>COUNTIFS('post-audit-active-backlog-statu'!$D$2:$D$6824,M78,'post-audit-active-backlog-statu'!$G$2:$G$6824,"ReviewedNoChange")+COUNTIFS('post-audit-active-backlog-statu'!$D$2:$D$6824,M78,'post-audit-active-backlog-statu'!$G$2:$G$6824,"SafeNoChange")+COUNTIFS('post-audit-active-backlog-statu'!$D$2:$D$6824,M78,'post-audit-active-backlog-statu'!$G$2:$G$6824,"PolicyResolvedNoChange")</f>
        <v>0</v>
      </c>
      <c r="Q78" s="6">
        <f>COUNTIFS('post-audit-active-backlog-statu'!$D$2:$D$6824,M78,'post-audit-active-backlog-statu'!$G$2:$G$6824,"BlocksOnlyThisDomain")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COUNTIF('post-audit-active-backlog-statu'!$D$2:$D$6824,M79)</f>
        <v>9</v>
      </c>
      <c r="O79" s="6">
        <f>COUNTIFS('post-audit-active-backlog-statu'!$D$2:$D$6824,M79,'post-audit-active-backlog-statu'!$G$2:$G$6824,"Fixed")</f>
        <v>5</v>
      </c>
      <c r="P79" s="6">
        <f>COUNTIFS('post-audit-active-backlog-statu'!$D$2:$D$6824,M79,'post-audit-active-backlog-statu'!$G$2:$G$6824,"ReviewedNoChange")+COUNTIFS('post-audit-active-backlog-statu'!$D$2:$D$6824,M79,'post-audit-active-backlog-statu'!$G$2:$G$6824,"SafeNoChange")+COUNTIFS('post-audit-active-backlog-statu'!$D$2:$D$6824,M79,'post-audit-active-backlog-statu'!$G$2:$G$6824,"PolicyResolvedNoChange")</f>
        <v>2</v>
      </c>
      <c r="Q79" s="6">
        <f>COUNTIFS('post-audit-active-backlog-statu'!$D$2:$D$6824,M79,'post-audit-active-backlog-statu'!$G$2:$G$6824,"BlocksOnlyThisDomain")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COUNTIF('post-audit-active-backlog-statu'!$D$2:$D$6824,M80)</f>
        <v>9</v>
      </c>
      <c r="O80" s="6">
        <f>COUNTIFS('post-audit-active-backlog-statu'!$D$2:$D$6824,M80,'post-audit-active-backlog-statu'!$G$2:$G$6824,"Fixed")</f>
        <v>7</v>
      </c>
      <c r="P80" s="6">
        <f>COUNTIFS('post-audit-active-backlog-statu'!$D$2:$D$6824,M80,'post-audit-active-backlog-statu'!$G$2:$G$6824,"ReviewedNoChange")+COUNTIFS('post-audit-active-backlog-statu'!$D$2:$D$6824,M80,'post-audit-active-backlog-statu'!$G$2:$G$6824,"SafeNoChange")+COUNTIFS('post-audit-active-backlog-statu'!$D$2:$D$6824,M80,'post-audit-active-backlog-statu'!$G$2:$G$6824,"PolicyResolvedNoChange")</f>
        <v>2</v>
      </c>
      <c r="Q80" s="6">
        <f>COUNTIFS('post-audit-active-backlog-statu'!$D$2:$D$6824,M80,'post-audit-active-backlog-statu'!$G$2:$G$6824,"BlocksOnlyThisDomain")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COUNTIF('post-audit-active-backlog-statu'!$D$2:$D$6824,M81)</f>
        <v>9</v>
      </c>
      <c r="O81" s="6">
        <f>COUNTIFS('post-audit-active-backlog-statu'!$D$2:$D$6824,M81,'post-audit-active-backlog-statu'!$G$2:$G$6824,"Fixed")</f>
        <v>3</v>
      </c>
      <c r="P81" s="6">
        <f>COUNTIFS('post-audit-active-backlog-statu'!$D$2:$D$6824,M81,'post-audit-active-backlog-statu'!$G$2:$G$6824,"ReviewedNoChange")+COUNTIFS('post-audit-active-backlog-statu'!$D$2:$D$6824,M81,'post-audit-active-backlog-statu'!$G$2:$G$6824,"SafeNoChange")+COUNTIFS('post-audit-active-backlog-statu'!$D$2:$D$6824,M81,'post-audit-active-backlog-statu'!$G$2:$G$6824,"PolicyResolvedNoChange")</f>
        <v>3</v>
      </c>
      <c r="Q81" s="6">
        <f>COUNTIFS('post-audit-active-backlog-statu'!$D$2:$D$6824,M81,'post-audit-active-backlog-statu'!$G$2:$G$6824,"BlocksOnlyThisDomain")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COUNTIF('post-audit-active-backlog-statu'!$D$2:$D$6824,M82)</f>
        <v>9</v>
      </c>
      <c r="O82" s="6">
        <f>COUNTIFS('post-audit-active-backlog-statu'!$D$2:$D$6824,M82,'post-audit-active-backlog-statu'!$G$2:$G$6824,"Fixed")</f>
        <v>1</v>
      </c>
      <c r="P82" s="6">
        <f>COUNTIFS('post-audit-active-backlog-statu'!$D$2:$D$6824,M82,'post-audit-active-backlog-statu'!$G$2:$G$6824,"ReviewedNoChange")+COUNTIFS('post-audit-active-backlog-statu'!$D$2:$D$6824,M82,'post-audit-active-backlog-statu'!$G$2:$G$6824,"SafeNoChange")+COUNTIFS('post-audit-active-backlog-statu'!$D$2:$D$6824,M82,'post-audit-active-backlog-statu'!$G$2:$G$6824,"PolicyResolvedNoChange")</f>
        <v>4</v>
      </c>
      <c r="Q82" s="6">
        <f>COUNTIFS('post-audit-active-backlog-statu'!$D$2:$D$6824,M82,'post-audit-active-backlog-statu'!$G$2:$G$6824,"BlocksOnlyThisDomain")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COUNTIF('post-audit-active-backlog-statu'!$D$2:$D$6824,M83)</f>
        <v>8</v>
      </c>
      <c r="O83" s="6">
        <f>COUNTIFS('post-audit-active-backlog-statu'!$D$2:$D$6824,M83,'post-audit-active-backlog-statu'!$G$2:$G$6824,"Fixed")</f>
        <v>0</v>
      </c>
      <c r="P83" s="6">
        <f>COUNTIFS('post-audit-active-backlog-statu'!$D$2:$D$6824,M83,'post-audit-active-backlog-statu'!$G$2:$G$6824,"ReviewedNoChange")+COUNTIFS('post-audit-active-backlog-statu'!$D$2:$D$6824,M83,'post-audit-active-backlog-statu'!$G$2:$G$6824,"SafeNoChange")+COUNTIFS('post-audit-active-backlog-statu'!$D$2:$D$6824,M83,'post-audit-active-backlog-statu'!$G$2:$G$6824,"PolicyResolvedNoChange")</f>
        <v>4</v>
      </c>
      <c r="Q83" s="6">
        <f>COUNTIFS('post-audit-active-backlog-statu'!$D$2:$D$6824,M83,'post-audit-active-backlog-statu'!$G$2:$G$6824,"BlocksOnlyThisDomain")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COUNTIF('post-audit-active-backlog-statu'!$D$2:$D$6824,M84)</f>
        <v>8</v>
      </c>
      <c r="O84" s="6">
        <f>COUNTIFS('post-audit-active-backlog-statu'!$D$2:$D$6824,M84,'post-audit-active-backlog-statu'!$G$2:$G$6824,"Fixed")</f>
        <v>0</v>
      </c>
      <c r="P84" s="6">
        <f>COUNTIFS('post-audit-active-backlog-statu'!$D$2:$D$6824,M84,'post-audit-active-backlog-statu'!$G$2:$G$6824,"ReviewedNoChange")+COUNTIFS('post-audit-active-backlog-statu'!$D$2:$D$6824,M84,'post-audit-active-backlog-statu'!$G$2:$G$6824,"SafeNoChange")+COUNTIFS('post-audit-active-backlog-statu'!$D$2:$D$6824,M84,'post-audit-active-backlog-statu'!$G$2:$G$6824,"PolicyResolvedNoChange")</f>
        <v>3</v>
      </c>
      <c r="Q84" s="6">
        <f>COUNTIFS('post-audit-active-backlog-statu'!$D$2:$D$6824,M84,'post-audit-active-backlog-statu'!$G$2:$G$6824,"BlocksOnlyThisDomain")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COUNTIF('post-audit-active-backlog-statu'!$D$2:$D$6824,M85)</f>
        <v>8</v>
      </c>
      <c r="O85" s="6">
        <f>COUNTIFS('post-audit-active-backlog-statu'!$D$2:$D$6824,M85,'post-audit-active-backlog-statu'!$G$2:$G$6824,"Fixed")</f>
        <v>2</v>
      </c>
      <c r="P85" s="6">
        <f>COUNTIFS('post-audit-active-backlog-statu'!$D$2:$D$6824,M85,'post-audit-active-backlog-statu'!$G$2:$G$6824,"ReviewedNoChange")+COUNTIFS('post-audit-active-backlog-statu'!$D$2:$D$6824,M85,'post-audit-active-backlog-statu'!$G$2:$G$6824,"SafeNoChange")+COUNTIFS('post-audit-active-backlog-statu'!$D$2:$D$6824,M85,'post-audit-active-backlog-statu'!$G$2:$G$6824,"PolicyResolvedNoChange")</f>
        <v>2</v>
      </c>
      <c r="Q85" s="6">
        <f>COUNTIFS('post-audit-active-backlog-statu'!$D$2:$D$6824,M85,'post-audit-active-backlog-statu'!$G$2:$G$6824,"BlocksOnlyThisDomain")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COUNTIF('post-audit-active-backlog-statu'!$D$2:$D$6824,M86)</f>
        <v>7</v>
      </c>
      <c r="O86" s="6">
        <f>COUNTIFS('post-audit-active-backlog-statu'!$D$2:$D$6824,M86,'post-audit-active-backlog-statu'!$G$2:$G$6824,"Fixed")</f>
        <v>3</v>
      </c>
      <c r="P86" s="6">
        <f>COUNTIFS('post-audit-active-backlog-statu'!$D$2:$D$6824,M86,'post-audit-active-backlog-statu'!$G$2:$G$6824,"ReviewedNoChange")+COUNTIFS('post-audit-active-backlog-statu'!$D$2:$D$6824,M86,'post-audit-active-backlog-statu'!$G$2:$G$6824,"SafeNoChange")+COUNTIFS('post-audit-active-backlog-statu'!$D$2:$D$6824,M86,'post-audit-active-backlog-statu'!$G$2:$G$6824,"PolicyResolvedNoChange")</f>
        <v>2</v>
      </c>
      <c r="Q86" s="6">
        <f>COUNTIFS('post-audit-active-backlog-statu'!$D$2:$D$6824,M86,'post-audit-active-backlog-statu'!$G$2:$G$6824,"BlocksOnlyThisDomain")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COUNTIF('post-audit-active-backlog-statu'!$D$2:$D$6824,M87)</f>
        <v>7</v>
      </c>
      <c r="O87" s="6">
        <f>COUNTIFS('post-audit-active-backlog-statu'!$D$2:$D$6824,M87,'post-audit-active-backlog-statu'!$G$2:$G$6824,"Fixed")</f>
        <v>1</v>
      </c>
      <c r="P87" s="6">
        <f>COUNTIFS('post-audit-active-backlog-statu'!$D$2:$D$6824,M87,'post-audit-active-backlog-statu'!$G$2:$G$6824,"ReviewedNoChange")+COUNTIFS('post-audit-active-backlog-statu'!$D$2:$D$6824,M87,'post-audit-active-backlog-statu'!$G$2:$G$6824,"SafeNoChange")+COUNTIFS('post-audit-active-backlog-statu'!$D$2:$D$6824,M87,'post-audit-active-backlog-statu'!$G$2:$G$6824,"PolicyResolvedNoChange")</f>
        <v>3</v>
      </c>
      <c r="Q87" s="6">
        <f>COUNTIFS('post-audit-active-backlog-statu'!$D$2:$D$6824,M87,'post-audit-active-backlog-statu'!$G$2:$G$6824,"BlocksOnlyThisDomain")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COUNTIF('post-audit-active-backlog-statu'!$D$2:$D$6824,M88)</f>
        <v>7</v>
      </c>
      <c r="O88" s="6">
        <f>COUNTIFS('post-audit-active-backlog-statu'!$D$2:$D$6824,M88,'post-audit-active-backlog-statu'!$G$2:$G$6824,"Fixed")</f>
        <v>5</v>
      </c>
      <c r="P88" s="6">
        <f>COUNTIFS('post-audit-active-backlog-statu'!$D$2:$D$6824,M88,'post-audit-active-backlog-statu'!$G$2:$G$6824,"ReviewedNoChange")+COUNTIFS('post-audit-active-backlog-statu'!$D$2:$D$6824,M88,'post-audit-active-backlog-statu'!$G$2:$G$6824,"SafeNoChange")+COUNTIFS('post-audit-active-backlog-statu'!$D$2:$D$6824,M88,'post-audit-active-backlog-statu'!$G$2:$G$6824,"PolicyResolvedNoChange")</f>
        <v>0</v>
      </c>
      <c r="Q88" s="6">
        <f>COUNTIFS('post-audit-active-backlog-statu'!$D$2:$D$6824,M88,'post-audit-active-backlog-statu'!$G$2:$G$6824,"BlocksOnlyThisDomain")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COUNTIF('post-audit-active-backlog-statu'!$D$2:$D$6824,M89)</f>
        <v>7</v>
      </c>
      <c r="O89" s="6">
        <f>COUNTIFS('post-audit-active-backlog-statu'!$D$2:$D$6824,M89,'post-audit-active-backlog-statu'!$G$2:$G$6824,"Fixed")</f>
        <v>7</v>
      </c>
      <c r="P89" s="6">
        <f>COUNTIFS('post-audit-active-backlog-statu'!$D$2:$D$6824,M89,'post-audit-active-backlog-statu'!$G$2:$G$6824,"ReviewedNoChange")+COUNTIFS('post-audit-active-backlog-statu'!$D$2:$D$6824,M89,'post-audit-active-backlog-statu'!$G$2:$G$6824,"SafeNoChange")+COUNTIFS('post-audit-active-backlog-statu'!$D$2:$D$6824,M89,'post-audit-active-backlog-statu'!$G$2:$G$6824,"PolicyResolvedNoChange")</f>
        <v>0</v>
      </c>
      <c r="Q89" s="6">
        <f>COUNTIFS('post-audit-active-backlog-statu'!$D$2:$D$6824,M89,'post-audit-active-backlog-statu'!$G$2:$G$6824,"BlocksOnlyThisDomain")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COUNTIF('post-audit-active-backlog-statu'!$D$2:$D$6824,M90)</f>
        <v>7</v>
      </c>
      <c r="O90" s="6">
        <f>COUNTIFS('post-audit-active-backlog-statu'!$D$2:$D$6824,M90,'post-audit-active-backlog-statu'!$G$2:$G$6824,"Fixed")</f>
        <v>1</v>
      </c>
      <c r="P90" s="6">
        <f>COUNTIFS('post-audit-active-backlog-statu'!$D$2:$D$6824,M90,'post-audit-active-backlog-statu'!$G$2:$G$6824,"ReviewedNoChange")+COUNTIFS('post-audit-active-backlog-statu'!$D$2:$D$6824,M90,'post-audit-active-backlog-statu'!$G$2:$G$6824,"SafeNoChange")+COUNTIFS('post-audit-active-backlog-statu'!$D$2:$D$6824,M90,'post-audit-active-backlog-statu'!$G$2:$G$6824,"PolicyResolvedNoChange")</f>
        <v>3</v>
      </c>
      <c r="Q90" s="6">
        <f>COUNTIFS('post-audit-active-backlog-statu'!$D$2:$D$6824,M90,'post-audit-active-backlog-statu'!$G$2:$G$6824,"BlocksOnlyThisDomain")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COUNTIF('post-audit-active-backlog-statu'!$D$2:$D$6824,M91)</f>
        <v>6</v>
      </c>
      <c r="O91" s="6">
        <f>COUNTIFS('post-audit-active-backlog-statu'!$D$2:$D$6824,M91,'post-audit-active-backlog-statu'!$G$2:$G$6824,"Fixed")</f>
        <v>3</v>
      </c>
      <c r="P91" s="6">
        <f>COUNTIFS('post-audit-active-backlog-statu'!$D$2:$D$6824,M91,'post-audit-active-backlog-statu'!$G$2:$G$6824,"ReviewedNoChange")+COUNTIFS('post-audit-active-backlog-statu'!$D$2:$D$6824,M91,'post-audit-active-backlog-statu'!$G$2:$G$6824,"SafeNoChange")+COUNTIFS('post-audit-active-backlog-statu'!$D$2:$D$6824,M91,'post-audit-active-backlog-statu'!$G$2:$G$6824,"PolicyResolvedNoChange")</f>
        <v>1</v>
      </c>
      <c r="Q91" s="6">
        <f>COUNTIFS('post-audit-active-backlog-statu'!$D$2:$D$6824,M91,'post-audit-active-backlog-statu'!$G$2:$G$6824,"BlocksOnlyThisDomain")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COUNTIF('post-audit-active-backlog-statu'!$D$2:$D$6824,M92)</f>
        <v>6</v>
      </c>
      <c r="O92" s="6">
        <f>COUNTIFS('post-audit-active-backlog-statu'!$D$2:$D$6824,M92,'post-audit-active-backlog-statu'!$G$2:$G$6824,"Fixed")</f>
        <v>2</v>
      </c>
      <c r="P92" s="6">
        <f>COUNTIFS('post-audit-active-backlog-statu'!$D$2:$D$6824,M92,'post-audit-active-backlog-statu'!$G$2:$G$6824,"ReviewedNoChange")+COUNTIFS('post-audit-active-backlog-statu'!$D$2:$D$6824,M92,'post-audit-active-backlog-statu'!$G$2:$G$6824,"SafeNoChange")+COUNTIFS('post-audit-active-backlog-statu'!$D$2:$D$6824,M92,'post-audit-active-backlog-statu'!$G$2:$G$6824,"PolicyResolvedNoChange")</f>
        <v>3</v>
      </c>
      <c r="Q92" s="6">
        <f>COUNTIFS('post-audit-active-backlog-statu'!$D$2:$D$6824,M92,'post-audit-active-backlog-statu'!$G$2:$G$6824,"BlocksOnlyThisDomain")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COUNTIF('post-audit-active-backlog-statu'!$D$2:$D$6824,M93)</f>
        <v>6</v>
      </c>
      <c r="O93" s="6">
        <f>COUNTIFS('post-audit-active-backlog-statu'!$D$2:$D$6824,M93,'post-audit-active-backlog-statu'!$G$2:$G$6824,"Fixed")</f>
        <v>6</v>
      </c>
      <c r="P93" s="6">
        <f>COUNTIFS('post-audit-active-backlog-statu'!$D$2:$D$6824,M93,'post-audit-active-backlog-statu'!$G$2:$G$6824,"ReviewedNoChange")+COUNTIFS('post-audit-active-backlog-statu'!$D$2:$D$6824,M93,'post-audit-active-backlog-statu'!$G$2:$G$6824,"SafeNoChange")+COUNTIFS('post-audit-active-backlog-statu'!$D$2:$D$6824,M93,'post-audit-active-backlog-statu'!$G$2:$G$6824,"PolicyResolvedNoChange")</f>
        <v>0</v>
      </c>
      <c r="Q93" s="6">
        <f>COUNTIFS('post-audit-active-backlog-statu'!$D$2:$D$6824,M93,'post-audit-active-backlog-statu'!$G$2:$G$6824,"BlocksOnlyThisDomain")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COUNTIF('post-audit-active-backlog-statu'!$D$2:$D$6824,M94)</f>
        <v>6</v>
      </c>
      <c r="O94" s="6">
        <f>COUNTIFS('post-audit-active-backlog-statu'!$D$2:$D$6824,M94,'post-audit-active-backlog-statu'!$G$2:$G$6824,"Fixed")</f>
        <v>6</v>
      </c>
      <c r="P94" s="6">
        <f>COUNTIFS('post-audit-active-backlog-statu'!$D$2:$D$6824,M94,'post-audit-active-backlog-statu'!$G$2:$G$6824,"ReviewedNoChange")+COUNTIFS('post-audit-active-backlog-statu'!$D$2:$D$6824,M94,'post-audit-active-backlog-statu'!$G$2:$G$6824,"SafeNoChange")+COUNTIFS('post-audit-active-backlog-statu'!$D$2:$D$6824,M94,'post-audit-active-backlog-statu'!$G$2:$G$6824,"PolicyResolvedNoChange")</f>
        <v>0</v>
      </c>
      <c r="Q94" s="6">
        <f>COUNTIFS('post-audit-active-backlog-statu'!$D$2:$D$6824,M94,'post-audit-active-backlog-statu'!$G$2:$G$6824,"BlocksOnlyThisDomain")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COUNTIF('post-audit-active-backlog-statu'!$D$2:$D$6824,M95)</f>
        <v>6</v>
      </c>
      <c r="O95" s="6">
        <f>COUNTIFS('post-audit-active-backlog-statu'!$D$2:$D$6824,M95,'post-audit-active-backlog-statu'!$G$2:$G$6824,"Fixed")</f>
        <v>6</v>
      </c>
      <c r="P95" s="6">
        <f>COUNTIFS('post-audit-active-backlog-statu'!$D$2:$D$6824,M95,'post-audit-active-backlog-statu'!$G$2:$G$6824,"ReviewedNoChange")+COUNTIFS('post-audit-active-backlog-statu'!$D$2:$D$6824,M95,'post-audit-active-backlog-statu'!$G$2:$G$6824,"SafeNoChange")+COUNTIFS('post-audit-active-backlog-statu'!$D$2:$D$6824,M95,'post-audit-active-backlog-statu'!$G$2:$G$6824,"PolicyResolvedNoChange")</f>
        <v>0</v>
      </c>
      <c r="Q95" s="6">
        <f>COUNTIFS('post-audit-active-backlog-statu'!$D$2:$D$6824,M95,'post-audit-active-backlog-statu'!$G$2:$G$6824,"BlocksOnlyThisDomain")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COUNTIF('post-audit-active-backlog-statu'!$D$2:$D$6824,M96)</f>
        <v>6</v>
      </c>
      <c r="O96" s="6">
        <f>COUNTIFS('post-audit-active-backlog-statu'!$D$2:$D$6824,M96,'post-audit-active-backlog-statu'!$G$2:$G$6824,"Fixed")</f>
        <v>3</v>
      </c>
      <c r="P96" s="6">
        <f>COUNTIFS('post-audit-active-backlog-statu'!$D$2:$D$6824,M96,'post-audit-active-backlog-statu'!$G$2:$G$6824,"ReviewedNoChange")+COUNTIFS('post-audit-active-backlog-statu'!$D$2:$D$6824,M96,'post-audit-active-backlog-statu'!$G$2:$G$6824,"SafeNoChange")+COUNTIFS('post-audit-active-backlog-statu'!$D$2:$D$6824,M96,'post-audit-active-backlog-statu'!$G$2:$G$6824,"PolicyResolvedNoChange")</f>
        <v>2</v>
      </c>
      <c r="Q96" s="6">
        <f>COUNTIFS('post-audit-active-backlog-statu'!$D$2:$D$6824,M96,'post-audit-active-backlog-statu'!$G$2:$G$6824,"BlocksOnlyThisDomain")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COUNTIF('post-audit-active-backlog-statu'!$D$2:$D$6824,M97)</f>
        <v>6</v>
      </c>
      <c r="O97" s="6">
        <f>COUNTIFS('post-audit-active-backlog-statu'!$D$2:$D$6824,M97,'post-audit-active-backlog-statu'!$G$2:$G$6824,"Fixed")</f>
        <v>3</v>
      </c>
      <c r="P97" s="6">
        <f>COUNTIFS('post-audit-active-backlog-statu'!$D$2:$D$6824,M97,'post-audit-active-backlog-statu'!$G$2:$G$6824,"ReviewedNoChange")+COUNTIFS('post-audit-active-backlog-statu'!$D$2:$D$6824,M97,'post-audit-active-backlog-statu'!$G$2:$G$6824,"SafeNoChange")+COUNTIFS('post-audit-active-backlog-statu'!$D$2:$D$6824,M97,'post-audit-active-backlog-statu'!$G$2:$G$6824,"PolicyResolvedNoChange")</f>
        <v>1</v>
      </c>
      <c r="Q97" s="6">
        <f>COUNTIFS('post-audit-active-backlog-statu'!$D$2:$D$6824,M97,'post-audit-active-backlog-statu'!$G$2:$G$6824,"BlocksOnlyThisDomain")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COUNTIF('post-audit-active-backlog-statu'!$D$2:$D$6824,M98)</f>
        <v>6</v>
      </c>
      <c r="O98" s="6">
        <f>COUNTIFS('post-audit-active-backlog-statu'!$D$2:$D$6824,M98,'post-audit-active-backlog-statu'!$G$2:$G$6824,"Fixed")</f>
        <v>2</v>
      </c>
      <c r="P98" s="6">
        <f>COUNTIFS('post-audit-active-backlog-statu'!$D$2:$D$6824,M98,'post-audit-active-backlog-statu'!$G$2:$G$6824,"ReviewedNoChange")+COUNTIFS('post-audit-active-backlog-statu'!$D$2:$D$6824,M98,'post-audit-active-backlog-statu'!$G$2:$G$6824,"SafeNoChange")+COUNTIFS('post-audit-active-backlog-statu'!$D$2:$D$6824,M98,'post-audit-active-backlog-statu'!$G$2:$G$6824,"PolicyResolvedNoChange")</f>
        <v>4</v>
      </c>
      <c r="Q98" s="6">
        <f>COUNTIFS('post-audit-active-backlog-statu'!$D$2:$D$6824,M98,'post-audit-active-backlog-statu'!$G$2:$G$6824,"BlocksOnlyThisDomain")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COUNTIF('post-audit-active-backlog-statu'!$D$2:$D$6824,M99)</f>
        <v>6</v>
      </c>
      <c r="O99" s="6">
        <f>COUNTIFS('post-audit-active-backlog-statu'!$D$2:$D$6824,M99,'post-audit-active-backlog-statu'!$G$2:$G$6824,"Fixed")</f>
        <v>0</v>
      </c>
      <c r="P99" s="6">
        <f>COUNTIFS('post-audit-active-backlog-statu'!$D$2:$D$6824,M99,'post-audit-active-backlog-statu'!$G$2:$G$6824,"ReviewedNoChange")+COUNTIFS('post-audit-active-backlog-statu'!$D$2:$D$6824,M99,'post-audit-active-backlog-statu'!$G$2:$G$6824,"SafeNoChange")+COUNTIFS('post-audit-active-backlog-statu'!$D$2:$D$6824,M99,'post-audit-active-backlog-statu'!$G$2:$G$6824,"PolicyResolvedNoChange")</f>
        <v>5</v>
      </c>
      <c r="Q99" s="6">
        <f>COUNTIFS('post-audit-active-backlog-statu'!$D$2:$D$6824,M99,'post-audit-active-backlog-statu'!$G$2:$G$6824,"BlocksOnlyThisDomain")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COUNTIF('post-audit-active-backlog-statu'!$D$2:$D$6824,M100)</f>
        <v>6</v>
      </c>
      <c r="O100" s="6">
        <f>COUNTIFS('post-audit-active-backlog-statu'!$D$2:$D$6824,M100,'post-audit-active-backlog-statu'!$G$2:$G$6824,"Fixed")</f>
        <v>0</v>
      </c>
      <c r="P100" s="6">
        <f>COUNTIFS('post-audit-active-backlog-statu'!$D$2:$D$6824,M100,'post-audit-active-backlog-statu'!$G$2:$G$6824,"ReviewedNoChange")+COUNTIFS('post-audit-active-backlog-statu'!$D$2:$D$6824,M100,'post-audit-active-backlog-statu'!$G$2:$G$6824,"SafeNoChange")+COUNTIFS('post-audit-active-backlog-statu'!$D$2:$D$6824,M100,'post-audit-active-backlog-statu'!$G$2:$G$6824,"PolicyResolvedNoChange")</f>
        <v>0</v>
      </c>
      <c r="Q100" s="6">
        <f>COUNTIFS('post-audit-active-backlog-statu'!$D$2:$D$6824,M100,'post-audit-active-backlog-statu'!$G$2:$G$6824,"BlocksOnlyThisDomain")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COUNTIF('post-audit-active-backlog-statu'!$D$2:$D$6824,M101)</f>
        <v>6</v>
      </c>
      <c r="O101" s="6">
        <f>COUNTIFS('post-audit-active-backlog-statu'!$D$2:$D$6824,M101,'post-audit-active-backlog-statu'!$G$2:$G$6824,"Fixed")</f>
        <v>0</v>
      </c>
      <c r="P101" s="6">
        <f>COUNTIFS('post-audit-active-backlog-statu'!$D$2:$D$6824,M101,'post-audit-active-backlog-statu'!$G$2:$G$6824,"ReviewedNoChange")+COUNTIFS('post-audit-active-backlog-statu'!$D$2:$D$6824,M101,'post-audit-active-backlog-statu'!$G$2:$G$6824,"SafeNoChange")+COUNTIFS('post-audit-active-backlog-statu'!$D$2:$D$6824,M101,'post-audit-active-backlog-statu'!$G$2:$G$6824,"PolicyResolvedNoChange")</f>
        <v>6</v>
      </c>
      <c r="Q101" s="6">
        <f>COUNTIFS('post-audit-active-backlog-statu'!$D$2:$D$6824,M101,'post-audit-active-backlog-statu'!$G$2:$G$6824,"BlocksOnlyThisDomain")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COUNTIF('post-audit-active-backlog-statu'!$D$2:$D$6824,M102)</f>
        <v>6</v>
      </c>
      <c r="O102" s="6">
        <f>COUNTIFS('post-audit-active-backlog-statu'!$D$2:$D$6824,M102,'post-audit-active-backlog-statu'!$G$2:$G$6824,"Fixed")</f>
        <v>0</v>
      </c>
      <c r="P102" s="6">
        <f>COUNTIFS('post-audit-active-backlog-statu'!$D$2:$D$6824,M102,'post-audit-active-backlog-statu'!$G$2:$G$6824,"ReviewedNoChange")+COUNTIFS('post-audit-active-backlog-statu'!$D$2:$D$6824,M102,'post-audit-active-backlog-statu'!$G$2:$G$6824,"SafeNoChange")+COUNTIFS('post-audit-active-backlog-statu'!$D$2:$D$6824,M102,'post-audit-active-backlog-statu'!$G$2:$G$6824,"PolicyResolvedNoChange")</f>
        <v>6</v>
      </c>
      <c r="Q102" s="6">
        <f>COUNTIFS('post-audit-active-backlog-statu'!$D$2:$D$6824,M102,'post-audit-active-backlog-statu'!$G$2:$G$6824,"BlocksOnlyThisDomain")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COUNTIF('post-audit-active-backlog-statu'!$D$2:$D$6824,M103)</f>
        <v>5</v>
      </c>
      <c r="O103" s="6">
        <f>COUNTIFS('post-audit-active-backlog-statu'!$D$2:$D$6824,M103,'post-audit-active-backlog-statu'!$G$2:$G$6824,"Fixed")</f>
        <v>2</v>
      </c>
      <c r="P103" s="6">
        <f>COUNTIFS('post-audit-active-backlog-statu'!$D$2:$D$6824,M103,'post-audit-active-backlog-statu'!$G$2:$G$6824,"ReviewedNoChange")+COUNTIFS('post-audit-active-backlog-statu'!$D$2:$D$6824,M103,'post-audit-active-backlog-statu'!$G$2:$G$6824,"SafeNoChange")+COUNTIFS('post-audit-active-backlog-statu'!$D$2:$D$6824,M103,'post-audit-active-backlog-statu'!$G$2:$G$6824,"PolicyResolvedNoChange")</f>
        <v>2</v>
      </c>
      <c r="Q103" s="6">
        <f>COUNTIFS('post-audit-active-backlog-statu'!$D$2:$D$6824,M103,'post-audit-active-backlog-statu'!$G$2:$G$6824,"BlocksOnlyThisDomain")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COUNTIF('post-audit-active-backlog-statu'!$D$2:$D$6824,M104)</f>
        <v>5</v>
      </c>
      <c r="O104" s="6">
        <f>COUNTIFS('post-audit-active-backlog-statu'!$D$2:$D$6824,M104,'post-audit-active-backlog-statu'!$G$2:$G$6824,"Fixed")</f>
        <v>5</v>
      </c>
      <c r="P104" s="6">
        <f>COUNTIFS('post-audit-active-backlog-statu'!$D$2:$D$6824,M104,'post-audit-active-backlog-statu'!$G$2:$G$6824,"ReviewedNoChange")+COUNTIFS('post-audit-active-backlog-statu'!$D$2:$D$6824,M104,'post-audit-active-backlog-statu'!$G$2:$G$6824,"SafeNoChange")+COUNTIFS('post-audit-active-backlog-statu'!$D$2:$D$6824,M104,'post-audit-active-backlog-statu'!$G$2:$G$6824,"PolicyResolvedNoChange")</f>
        <v>0</v>
      </c>
      <c r="Q104" s="6">
        <f>COUNTIFS('post-audit-active-backlog-statu'!$D$2:$D$6824,M104,'post-audit-active-backlog-statu'!$G$2:$G$6824,"BlocksOnlyThisDomain")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COUNTIF('post-audit-active-backlog-statu'!$D$2:$D$6824,M105)</f>
        <v>5</v>
      </c>
      <c r="O105" s="6">
        <f>COUNTIFS('post-audit-active-backlog-statu'!$D$2:$D$6824,M105,'post-audit-active-backlog-statu'!$G$2:$G$6824,"Fixed")</f>
        <v>1</v>
      </c>
      <c r="P105" s="6">
        <f>COUNTIFS('post-audit-active-backlog-statu'!$D$2:$D$6824,M105,'post-audit-active-backlog-statu'!$G$2:$G$6824,"ReviewedNoChange")+COUNTIFS('post-audit-active-backlog-statu'!$D$2:$D$6824,M105,'post-audit-active-backlog-statu'!$G$2:$G$6824,"SafeNoChange")+COUNTIFS('post-audit-active-backlog-statu'!$D$2:$D$6824,M105,'post-audit-active-backlog-statu'!$G$2:$G$6824,"PolicyResolvedNoChange")</f>
        <v>4</v>
      </c>
      <c r="Q105" s="6">
        <f>COUNTIFS('post-audit-active-backlog-statu'!$D$2:$D$6824,M105,'post-audit-active-backlog-statu'!$G$2:$G$6824,"BlocksOnlyThisDomain")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COUNTIF('post-audit-active-backlog-statu'!$D$2:$D$6824,M106)</f>
        <v>5</v>
      </c>
      <c r="O106" s="6">
        <f>COUNTIFS('post-audit-active-backlog-statu'!$D$2:$D$6824,M106,'post-audit-active-backlog-statu'!$G$2:$G$6824,"Fixed")</f>
        <v>2</v>
      </c>
      <c r="P106" s="6">
        <f>COUNTIFS('post-audit-active-backlog-statu'!$D$2:$D$6824,M106,'post-audit-active-backlog-statu'!$G$2:$G$6824,"ReviewedNoChange")+COUNTIFS('post-audit-active-backlog-statu'!$D$2:$D$6824,M106,'post-audit-active-backlog-statu'!$G$2:$G$6824,"SafeNoChange")+COUNTIFS('post-audit-active-backlog-statu'!$D$2:$D$6824,M106,'post-audit-active-backlog-statu'!$G$2:$G$6824,"PolicyResolvedNoChange")</f>
        <v>0</v>
      </c>
      <c r="Q106" s="6">
        <f>COUNTIFS('post-audit-active-backlog-statu'!$D$2:$D$6824,M106,'post-audit-active-backlog-statu'!$G$2:$G$6824,"BlocksOnlyThisDomain")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COUNTIF('post-audit-active-backlog-statu'!$D$2:$D$6824,M107)</f>
        <v>5</v>
      </c>
      <c r="O107" s="6">
        <f>COUNTIFS('post-audit-active-backlog-statu'!$D$2:$D$6824,M107,'post-audit-active-backlog-statu'!$G$2:$G$6824,"Fixed")</f>
        <v>2</v>
      </c>
      <c r="P107" s="6">
        <f>COUNTIFS('post-audit-active-backlog-statu'!$D$2:$D$6824,M107,'post-audit-active-backlog-statu'!$G$2:$G$6824,"ReviewedNoChange")+COUNTIFS('post-audit-active-backlog-statu'!$D$2:$D$6824,M107,'post-audit-active-backlog-statu'!$G$2:$G$6824,"SafeNoChange")+COUNTIFS('post-audit-active-backlog-statu'!$D$2:$D$6824,M107,'post-audit-active-backlog-statu'!$G$2:$G$6824,"PolicyResolvedNoChange")</f>
        <v>0</v>
      </c>
      <c r="Q107" s="6">
        <f>COUNTIFS('post-audit-active-backlog-statu'!$D$2:$D$6824,M107,'post-audit-active-backlog-statu'!$G$2:$G$6824,"BlocksOnlyThisDomain")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COUNTIF('post-audit-active-backlog-statu'!$D$2:$D$6824,M108)</f>
        <v>5</v>
      </c>
      <c r="O108" s="6">
        <f>COUNTIFS('post-audit-active-backlog-statu'!$D$2:$D$6824,M108,'post-audit-active-backlog-statu'!$G$2:$G$6824,"Fixed")</f>
        <v>0</v>
      </c>
      <c r="P108" s="6">
        <f>COUNTIFS('post-audit-active-backlog-statu'!$D$2:$D$6824,M108,'post-audit-active-backlog-statu'!$G$2:$G$6824,"ReviewedNoChange")+COUNTIFS('post-audit-active-backlog-statu'!$D$2:$D$6824,M108,'post-audit-active-backlog-statu'!$G$2:$G$6824,"SafeNoChange")+COUNTIFS('post-audit-active-backlog-statu'!$D$2:$D$6824,M108,'post-audit-active-backlog-statu'!$G$2:$G$6824,"PolicyResolvedNoChange")</f>
        <v>5</v>
      </c>
      <c r="Q108" s="6">
        <f>COUNTIFS('post-audit-active-backlog-statu'!$D$2:$D$6824,M108,'post-audit-active-backlog-statu'!$G$2:$G$6824,"BlocksOnlyThisDomain")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COUNTIF('post-audit-active-backlog-statu'!$D$2:$D$6824,M109)</f>
        <v>4</v>
      </c>
      <c r="O109" s="6">
        <f>COUNTIFS('post-audit-active-backlog-statu'!$D$2:$D$6824,M109,'post-audit-active-backlog-statu'!$G$2:$G$6824,"Fixed")</f>
        <v>2</v>
      </c>
      <c r="P109" s="6">
        <f>COUNTIFS('post-audit-active-backlog-statu'!$D$2:$D$6824,M109,'post-audit-active-backlog-statu'!$G$2:$G$6824,"ReviewedNoChange")+COUNTIFS('post-audit-active-backlog-statu'!$D$2:$D$6824,M109,'post-audit-active-backlog-statu'!$G$2:$G$6824,"SafeNoChange")+COUNTIFS('post-audit-active-backlog-statu'!$D$2:$D$6824,M109,'post-audit-active-backlog-statu'!$G$2:$G$6824,"PolicyResolvedNoChange")</f>
        <v>2</v>
      </c>
      <c r="Q109" s="6">
        <f>COUNTIFS('post-audit-active-backlog-statu'!$D$2:$D$6824,M109,'post-audit-active-backlog-statu'!$G$2:$G$6824,"BlocksOnlyThisDomain")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COUNTIF('post-audit-active-backlog-statu'!$D$2:$D$6824,M110)</f>
        <v>4</v>
      </c>
      <c r="O110" s="6">
        <f>COUNTIFS('post-audit-active-backlog-statu'!$D$2:$D$6824,M110,'post-audit-active-backlog-statu'!$G$2:$G$6824,"Fixed")</f>
        <v>4</v>
      </c>
      <c r="P110" s="6">
        <f>COUNTIFS('post-audit-active-backlog-statu'!$D$2:$D$6824,M110,'post-audit-active-backlog-statu'!$G$2:$G$6824,"ReviewedNoChange")+COUNTIFS('post-audit-active-backlog-statu'!$D$2:$D$6824,M110,'post-audit-active-backlog-statu'!$G$2:$G$6824,"SafeNoChange")+COUNTIFS('post-audit-active-backlog-statu'!$D$2:$D$6824,M110,'post-audit-active-backlog-statu'!$G$2:$G$6824,"PolicyResolvedNoChange")</f>
        <v>0</v>
      </c>
      <c r="Q110" s="6">
        <f>COUNTIFS('post-audit-active-backlog-statu'!$D$2:$D$6824,M110,'post-audit-active-backlog-statu'!$G$2:$G$6824,"BlocksOnlyThisDomain")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COUNTIF('post-audit-active-backlog-statu'!$D$2:$D$6824,M111)</f>
        <v>4</v>
      </c>
      <c r="O111" s="6">
        <f>COUNTIFS('post-audit-active-backlog-statu'!$D$2:$D$6824,M111,'post-audit-active-backlog-statu'!$G$2:$G$6824,"Fixed")</f>
        <v>3</v>
      </c>
      <c r="P111" s="6">
        <f>COUNTIFS('post-audit-active-backlog-statu'!$D$2:$D$6824,M111,'post-audit-active-backlog-statu'!$G$2:$G$6824,"ReviewedNoChange")+COUNTIFS('post-audit-active-backlog-statu'!$D$2:$D$6824,M111,'post-audit-active-backlog-statu'!$G$2:$G$6824,"SafeNoChange")+COUNTIFS('post-audit-active-backlog-statu'!$D$2:$D$6824,M111,'post-audit-active-backlog-statu'!$G$2:$G$6824,"PolicyResolvedNoChange")</f>
        <v>1</v>
      </c>
      <c r="Q111" s="6">
        <f>COUNTIFS('post-audit-active-backlog-statu'!$D$2:$D$6824,M111,'post-audit-active-backlog-statu'!$G$2:$G$6824,"BlocksOnlyThisDomain")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COUNTIF('post-audit-active-backlog-statu'!$D$2:$D$6824,M112)</f>
        <v>5</v>
      </c>
      <c r="O112" s="6">
        <f>COUNTIFS('post-audit-active-backlog-statu'!$D$2:$D$6824,M112,'post-audit-active-backlog-statu'!$G$2:$G$6824,"Fixed")</f>
        <v>4</v>
      </c>
      <c r="P112" s="6">
        <f>COUNTIFS('post-audit-active-backlog-statu'!$D$2:$D$6824,M112,'post-audit-active-backlog-statu'!$G$2:$G$6824,"ReviewedNoChange")+COUNTIFS('post-audit-active-backlog-statu'!$D$2:$D$6824,M112,'post-audit-active-backlog-statu'!$G$2:$G$6824,"SafeNoChange")+COUNTIFS('post-audit-active-backlog-statu'!$D$2:$D$6824,M112,'post-audit-active-backlog-statu'!$G$2:$G$6824,"PolicyResolvedNoChange")</f>
        <v>0</v>
      </c>
      <c r="Q112" s="6">
        <f>COUNTIFS('post-audit-active-backlog-statu'!$D$2:$D$6824,M112,'post-audit-active-backlog-statu'!$G$2:$G$6824,"BlocksOnlyThisDomain")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COUNTIF('post-audit-active-backlog-statu'!$D$2:$D$6824,M113)</f>
        <v>4</v>
      </c>
      <c r="O113" s="6">
        <f>COUNTIFS('post-audit-active-backlog-statu'!$D$2:$D$6824,M113,'post-audit-active-backlog-statu'!$G$2:$G$6824,"Fixed")</f>
        <v>2</v>
      </c>
      <c r="P113" s="6">
        <f>COUNTIFS('post-audit-active-backlog-statu'!$D$2:$D$6824,M113,'post-audit-active-backlog-statu'!$G$2:$G$6824,"ReviewedNoChange")+COUNTIFS('post-audit-active-backlog-statu'!$D$2:$D$6824,M113,'post-audit-active-backlog-statu'!$G$2:$G$6824,"SafeNoChange")+COUNTIFS('post-audit-active-backlog-statu'!$D$2:$D$6824,M113,'post-audit-active-backlog-statu'!$G$2:$G$6824,"PolicyResolvedNoChange")</f>
        <v>2</v>
      </c>
      <c r="Q113" s="6">
        <f>COUNTIFS('post-audit-active-backlog-statu'!$D$2:$D$6824,M113,'post-audit-active-backlog-statu'!$G$2:$G$6824,"BlocksOnlyThisDomain")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COUNTIF('post-audit-active-backlog-statu'!$D$2:$D$6824,M114)</f>
        <v>4</v>
      </c>
      <c r="O114" s="6">
        <f>COUNTIFS('post-audit-active-backlog-statu'!$D$2:$D$6824,M114,'post-audit-active-backlog-statu'!$G$2:$G$6824,"Fixed")</f>
        <v>2</v>
      </c>
      <c r="P114" s="6">
        <f>COUNTIFS('post-audit-active-backlog-statu'!$D$2:$D$6824,M114,'post-audit-active-backlog-statu'!$G$2:$G$6824,"ReviewedNoChange")+COUNTIFS('post-audit-active-backlog-statu'!$D$2:$D$6824,M114,'post-audit-active-backlog-statu'!$G$2:$G$6824,"SafeNoChange")+COUNTIFS('post-audit-active-backlog-statu'!$D$2:$D$6824,M114,'post-audit-active-backlog-statu'!$G$2:$G$6824,"PolicyResolvedNoChange")</f>
        <v>1</v>
      </c>
      <c r="Q114" s="6">
        <f>COUNTIFS('post-audit-active-backlog-statu'!$D$2:$D$6824,M114,'post-audit-active-backlog-statu'!$G$2:$G$6824,"BlocksOnlyThisDomain")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COUNTIF('post-audit-active-backlog-statu'!$D$2:$D$6824,M115)</f>
        <v>4</v>
      </c>
      <c r="O115" s="6">
        <f>COUNTIFS('post-audit-active-backlog-statu'!$D$2:$D$6824,M115,'post-audit-active-backlog-statu'!$G$2:$G$6824,"Fixed")</f>
        <v>2</v>
      </c>
      <c r="P115" s="6">
        <f>COUNTIFS('post-audit-active-backlog-statu'!$D$2:$D$6824,M115,'post-audit-active-backlog-statu'!$G$2:$G$6824,"ReviewedNoChange")+COUNTIFS('post-audit-active-backlog-statu'!$D$2:$D$6824,M115,'post-audit-active-backlog-statu'!$G$2:$G$6824,"SafeNoChange")+COUNTIFS('post-audit-active-backlog-statu'!$D$2:$D$6824,M115,'post-audit-active-backlog-statu'!$G$2:$G$6824,"PolicyResolvedNoChange")</f>
        <v>0</v>
      </c>
      <c r="Q115" s="6">
        <f>COUNTIFS('post-audit-active-backlog-statu'!$D$2:$D$6824,M115,'post-audit-active-backlog-statu'!$G$2:$G$6824,"BlocksOnlyThisDomain")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COUNTIF('post-audit-active-backlog-statu'!$D$2:$D$6824,M116)</f>
        <v>4</v>
      </c>
      <c r="O116" s="6">
        <f>COUNTIFS('post-audit-active-backlog-statu'!$D$2:$D$6824,M116,'post-audit-active-backlog-statu'!$G$2:$G$6824,"Fixed")</f>
        <v>0</v>
      </c>
      <c r="P116" s="6">
        <f>COUNTIFS('post-audit-active-backlog-statu'!$D$2:$D$6824,M116,'post-audit-active-backlog-statu'!$G$2:$G$6824,"ReviewedNoChange")+COUNTIFS('post-audit-active-backlog-statu'!$D$2:$D$6824,M116,'post-audit-active-backlog-statu'!$G$2:$G$6824,"SafeNoChange")+COUNTIFS('post-audit-active-backlog-statu'!$D$2:$D$6824,M116,'post-audit-active-backlog-statu'!$G$2:$G$6824,"PolicyResolvedNoChange")</f>
        <v>4</v>
      </c>
      <c r="Q116" s="6">
        <f>COUNTIFS('post-audit-active-backlog-statu'!$D$2:$D$6824,M116,'post-audit-active-backlog-statu'!$G$2:$G$6824,"BlocksOnlyThisDomain")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COUNTIF('post-audit-active-backlog-statu'!$D$2:$D$6824,M117)</f>
        <v>4</v>
      </c>
      <c r="O117" s="6">
        <f>COUNTIFS('post-audit-active-backlog-statu'!$D$2:$D$6824,M117,'post-audit-active-backlog-statu'!$G$2:$G$6824,"Fixed")</f>
        <v>0</v>
      </c>
      <c r="P117" s="6">
        <f>COUNTIFS('post-audit-active-backlog-statu'!$D$2:$D$6824,M117,'post-audit-active-backlog-statu'!$G$2:$G$6824,"ReviewedNoChange")+COUNTIFS('post-audit-active-backlog-statu'!$D$2:$D$6824,M117,'post-audit-active-backlog-statu'!$G$2:$G$6824,"SafeNoChange")+COUNTIFS('post-audit-active-backlog-statu'!$D$2:$D$6824,M117,'post-audit-active-backlog-statu'!$G$2:$G$6824,"PolicyResolvedNoChange")</f>
        <v>4</v>
      </c>
      <c r="Q117" s="6">
        <f>COUNTIFS('post-audit-active-backlog-statu'!$D$2:$D$6824,M117,'post-audit-active-backlog-statu'!$G$2:$G$6824,"BlocksOnlyThisDomain")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COUNTIF('post-audit-active-backlog-statu'!$D$2:$D$6824,M118)</f>
        <v>3</v>
      </c>
      <c r="O118" s="6">
        <f>COUNTIFS('post-audit-active-backlog-statu'!$D$2:$D$6824,M118,'post-audit-active-backlog-statu'!$G$2:$G$6824,"Fixed")</f>
        <v>2</v>
      </c>
      <c r="P118" s="6">
        <f>COUNTIFS('post-audit-active-backlog-statu'!$D$2:$D$6824,M118,'post-audit-active-backlog-statu'!$G$2:$G$6824,"ReviewedNoChange")+COUNTIFS('post-audit-active-backlog-statu'!$D$2:$D$6824,M118,'post-audit-active-backlog-statu'!$G$2:$G$6824,"SafeNoChange")+COUNTIFS('post-audit-active-backlog-statu'!$D$2:$D$6824,M118,'post-audit-active-backlog-statu'!$G$2:$G$6824,"PolicyResolvedNoChange")</f>
        <v>1</v>
      </c>
      <c r="Q118" s="6">
        <f>COUNTIFS('post-audit-active-backlog-statu'!$D$2:$D$6824,M118,'post-audit-active-backlog-statu'!$G$2:$G$6824,"BlocksOnlyThisDomain")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COUNTIF('post-audit-active-backlog-statu'!$D$2:$D$6824,M119)</f>
        <v>3</v>
      </c>
      <c r="O119" s="6">
        <f>COUNTIFS('post-audit-active-backlog-statu'!$D$2:$D$6824,M119,'post-audit-active-backlog-statu'!$G$2:$G$6824,"Fixed")</f>
        <v>3</v>
      </c>
      <c r="P119" s="6">
        <f>COUNTIFS('post-audit-active-backlog-statu'!$D$2:$D$6824,M119,'post-audit-active-backlog-statu'!$G$2:$G$6824,"ReviewedNoChange")+COUNTIFS('post-audit-active-backlog-statu'!$D$2:$D$6824,M119,'post-audit-active-backlog-statu'!$G$2:$G$6824,"SafeNoChange")+COUNTIFS('post-audit-active-backlog-statu'!$D$2:$D$6824,M119,'post-audit-active-backlog-statu'!$G$2:$G$6824,"PolicyResolvedNoChange")</f>
        <v>0</v>
      </c>
      <c r="Q119" s="6">
        <f>COUNTIFS('post-audit-active-backlog-statu'!$D$2:$D$6824,M119,'post-audit-active-backlog-statu'!$G$2:$G$6824,"BlocksOnlyThisDomain")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COUNTIF('post-audit-active-backlog-statu'!$D$2:$D$6824,M120)</f>
        <v>3</v>
      </c>
      <c r="O120" s="6">
        <f>COUNTIFS('post-audit-active-backlog-statu'!$D$2:$D$6824,M120,'post-audit-active-backlog-statu'!$G$2:$G$6824,"Fixed")</f>
        <v>3</v>
      </c>
      <c r="P120" s="6">
        <f>COUNTIFS('post-audit-active-backlog-statu'!$D$2:$D$6824,M120,'post-audit-active-backlog-statu'!$G$2:$G$6824,"ReviewedNoChange")+COUNTIFS('post-audit-active-backlog-statu'!$D$2:$D$6824,M120,'post-audit-active-backlog-statu'!$G$2:$G$6824,"SafeNoChange")+COUNTIFS('post-audit-active-backlog-statu'!$D$2:$D$6824,M120,'post-audit-active-backlog-statu'!$G$2:$G$6824,"PolicyResolvedNoChange")</f>
        <v>0</v>
      </c>
      <c r="Q120" s="6">
        <f>COUNTIFS('post-audit-active-backlog-statu'!$D$2:$D$6824,M120,'post-audit-active-backlog-statu'!$G$2:$G$6824,"BlocksOnlyThisDomain")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COUNTIF('post-audit-active-backlog-statu'!$D$2:$D$6824,M121)</f>
        <v>3</v>
      </c>
      <c r="O121" s="6">
        <f>COUNTIFS('post-audit-active-backlog-statu'!$D$2:$D$6824,M121,'post-audit-active-backlog-statu'!$G$2:$G$6824,"Fixed")</f>
        <v>3</v>
      </c>
      <c r="P121" s="6">
        <f>COUNTIFS('post-audit-active-backlog-statu'!$D$2:$D$6824,M121,'post-audit-active-backlog-statu'!$G$2:$G$6824,"ReviewedNoChange")+COUNTIFS('post-audit-active-backlog-statu'!$D$2:$D$6824,M121,'post-audit-active-backlog-statu'!$G$2:$G$6824,"SafeNoChange")+COUNTIFS('post-audit-active-backlog-statu'!$D$2:$D$6824,M121,'post-audit-active-backlog-statu'!$G$2:$G$6824,"PolicyResolvedNoChange")</f>
        <v>0</v>
      </c>
      <c r="Q121" s="6">
        <f>COUNTIFS('post-audit-active-backlog-statu'!$D$2:$D$6824,M121,'post-audit-active-backlog-statu'!$G$2:$G$6824,"BlocksOnlyThisDomain")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COUNTIF('post-audit-active-backlog-statu'!$D$2:$D$6824,M122)</f>
        <v>3</v>
      </c>
      <c r="O122" s="6">
        <f>COUNTIFS('post-audit-active-backlog-statu'!$D$2:$D$6824,M122,'post-audit-active-backlog-statu'!$G$2:$G$6824,"Fixed")</f>
        <v>2</v>
      </c>
      <c r="P122" s="6">
        <f>COUNTIFS('post-audit-active-backlog-statu'!$D$2:$D$6824,M122,'post-audit-active-backlog-statu'!$G$2:$G$6824,"ReviewedNoChange")+COUNTIFS('post-audit-active-backlog-statu'!$D$2:$D$6824,M122,'post-audit-active-backlog-statu'!$G$2:$G$6824,"SafeNoChange")+COUNTIFS('post-audit-active-backlog-statu'!$D$2:$D$6824,M122,'post-audit-active-backlog-statu'!$G$2:$G$6824,"PolicyResolvedNoChange")</f>
        <v>0</v>
      </c>
      <c r="Q122" s="6">
        <f>COUNTIFS('post-audit-active-backlog-statu'!$D$2:$D$6824,M122,'post-audit-active-backlog-statu'!$G$2:$G$6824,"BlocksOnlyThisDomain")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COUNTIF('post-audit-active-backlog-statu'!$D$2:$D$6824,M123)</f>
        <v>3</v>
      </c>
      <c r="O123" s="6">
        <f>COUNTIFS('post-audit-active-backlog-statu'!$D$2:$D$6824,M123,'post-audit-active-backlog-statu'!$G$2:$G$6824,"Fixed")</f>
        <v>1</v>
      </c>
      <c r="P123" s="6">
        <f>COUNTIFS('post-audit-active-backlog-statu'!$D$2:$D$6824,M123,'post-audit-active-backlog-statu'!$G$2:$G$6824,"ReviewedNoChange")+COUNTIFS('post-audit-active-backlog-statu'!$D$2:$D$6824,M123,'post-audit-active-backlog-statu'!$G$2:$G$6824,"SafeNoChange")+COUNTIFS('post-audit-active-backlog-statu'!$D$2:$D$6824,M123,'post-audit-active-backlog-statu'!$G$2:$G$6824,"PolicyResolvedNoChange")</f>
        <v>1</v>
      </c>
      <c r="Q123" s="6">
        <f>COUNTIFS('post-audit-active-backlog-statu'!$D$2:$D$6824,M123,'post-audit-active-backlog-statu'!$G$2:$G$6824,"BlocksOnlyThisDomain")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COUNTIF('post-audit-active-backlog-statu'!$D$2:$D$6824,M124)</f>
        <v>3</v>
      </c>
      <c r="O124" s="6">
        <f>COUNTIFS('post-audit-active-backlog-statu'!$D$2:$D$6824,M124,'post-audit-active-backlog-statu'!$G$2:$G$6824,"Fixed")</f>
        <v>2</v>
      </c>
      <c r="P124" s="6">
        <f>COUNTIFS('post-audit-active-backlog-statu'!$D$2:$D$6824,M124,'post-audit-active-backlog-statu'!$G$2:$G$6824,"ReviewedNoChange")+COUNTIFS('post-audit-active-backlog-statu'!$D$2:$D$6824,M124,'post-audit-active-backlog-statu'!$G$2:$G$6824,"SafeNoChange")+COUNTIFS('post-audit-active-backlog-statu'!$D$2:$D$6824,M124,'post-audit-active-backlog-statu'!$G$2:$G$6824,"PolicyResolvedNoChange")</f>
        <v>0</v>
      </c>
      <c r="Q124" s="6">
        <f>COUNTIFS('post-audit-active-backlog-statu'!$D$2:$D$6824,M124,'post-audit-active-backlog-statu'!$G$2:$G$6824,"BlocksOnlyThisDomain")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COUNTIF('post-audit-active-backlog-statu'!$D$2:$D$6824,M125)</f>
        <v>3</v>
      </c>
      <c r="O125" s="6">
        <f>COUNTIFS('post-audit-active-backlog-statu'!$D$2:$D$6824,M125,'post-audit-active-backlog-statu'!$G$2:$G$6824,"Fixed")</f>
        <v>2</v>
      </c>
      <c r="P125" s="6">
        <f>COUNTIFS('post-audit-active-backlog-statu'!$D$2:$D$6824,M125,'post-audit-active-backlog-statu'!$G$2:$G$6824,"ReviewedNoChange")+COUNTIFS('post-audit-active-backlog-statu'!$D$2:$D$6824,M125,'post-audit-active-backlog-statu'!$G$2:$G$6824,"SafeNoChange")+COUNTIFS('post-audit-active-backlog-statu'!$D$2:$D$6824,M125,'post-audit-active-backlog-statu'!$G$2:$G$6824,"PolicyResolvedNoChange")</f>
        <v>0</v>
      </c>
      <c r="Q125" s="6">
        <f>COUNTIFS('post-audit-active-backlog-statu'!$D$2:$D$6824,M125,'post-audit-active-backlog-statu'!$G$2:$G$6824,"BlocksOnlyThisDomain")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COUNTIF('post-audit-active-backlog-statu'!$D$2:$D$6824,M126)</f>
        <v>3</v>
      </c>
      <c r="O126" s="6">
        <f>COUNTIFS('post-audit-active-backlog-statu'!$D$2:$D$6824,M126,'post-audit-active-backlog-statu'!$G$2:$G$6824,"Fixed")</f>
        <v>2</v>
      </c>
      <c r="P126" s="6">
        <f>COUNTIFS('post-audit-active-backlog-statu'!$D$2:$D$6824,M126,'post-audit-active-backlog-statu'!$G$2:$G$6824,"ReviewedNoChange")+COUNTIFS('post-audit-active-backlog-statu'!$D$2:$D$6824,M126,'post-audit-active-backlog-statu'!$G$2:$G$6824,"SafeNoChange")+COUNTIFS('post-audit-active-backlog-statu'!$D$2:$D$6824,M126,'post-audit-active-backlog-statu'!$G$2:$G$6824,"PolicyResolvedNoChange")</f>
        <v>0</v>
      </c>
      <c r="Q126" s="6">
        <f>COUNTIFS('post-audit-active-backlog-statu'!$D$2:$D$6824,M126,'post-audit-active-backlog-statu'!$G$2:$G$6824,"BlocksOnlyThisDomain")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COUNTIF('post-audit-active-backlog-statu'!$D$2:$D$6824,M127)</f>
        <v>3</v>
      </c>
      <c r="O127" s="6">
        <f>COUNTIFS('post-audit-active-backlog-statu'!$D$2:$D$6824,M127,'post-audit-active-backlog-statu'!$G$2:$G$6824,"Fixed")</f>
        <v>0</v>
      </c>
      <c r="P127" s="6">
        <f>COUNTIFS('post-audit-active-backlog-statu'!$D$2:$D$6824,M127,'post-audit-active-backlog-statu'!$G$2:$G$6824,"ReviewedNoChange")+COUNTIFS('post-audit-active-backlog-statu'!$D$2:$D$6824,M127,'post-audit-active-backlog-statu'!$G$2:$G$6824,"SafeNoChange")+COUNTIFS('post-audit-active-backlog-statu'!$D$2:$D$6824,M127,'post-audit-active-backlog-statu'!$G$2:$G$6824,"PolicyResolvedNoChange")</f>
        <v>2</v>
      </c>
      <c r="Q127" s="6">
        <f>COUNTIFS('post-audit-active-backlog-statu'!$D$2:$D$6824,M127,'post-audit-active-backlog-statu'!$G$2:$G$6824,"BlocksOnlyThisDomain")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COUNTIF('post-audit-active-backlog-statu'!$D$2:$D$6824,M128)</f>
        <v>3</v>
      </c>
      <c r="O128" s="6">
        <f>COUNTIFS('post-audit-active-backlog-statu'!$D$2:$D$6824,M128,'post-audit-active-backlog-statu'!$G$2:$G$6824,"Fixed")</f>
        <v>0</v>
      </c>
      <c r="P128" s="6">
        <f>COUNTIFS('post-audit-active-backlog-statu'!$D$2:$D$6824,M128,'post-audit-active-backlog-statu'!$G$2:$G$6824,"ReviewedNoChange")+COUNTIFS('post-audit-active-backlog-statu'!$D$2:$D$6824,M128,'post-audit-active-backlog-statu'!$G$2:$G$6824,"SafeNoChange")+COUNTIFS('post-audit-active-backlog-statu'!$D$2:$D$6824,M128,'post-audit-active-backlog-statu'!$G$2:$G$6824,"PolicyResolvedNoChange")</f>
        <v>2</v>
      </c>
      <c r="Q128" s="6">
        <f>COUNTIFS('post-audit-active-backlog-statu'!$D$2:$D$6824,M128,'post-audit-active-backlog-statu'!$G$2:$G$6824,"BlocksOnlyThisDomain")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COUNTIF('post-audit-active-backlog-statu'!$D$2:$D$6824,M129)</f>
        <v>3</v>
      </c>
      <c r="O129" s="6">
        <f>COUNTIFS('post-audit-active-backlog-statu'!$D$2:$D$6824,M129,'post-audit-active-backlog-statu'!$G$2:$G$6824,"Fixed")</f>
        <v>0</v>
      </c>
      <c r="P129" s="6">
        <f>COUNTIFS('post-audit-active-backlog-statu'!$D$2:$D$6824,M129,'post-audit-active-backlog-statu'!$G$2:$G$6824,"ReviewedNoChange")+COUNTIFS('post-audit-active-backlog-statu'!$D$2:$D$6824,M129,'post-audit-active-backlog-statu'!$G$2:$G$6824,"SafeNoChange")+COUNTIFS('post-audit-active-backlog-statu'!$D$2:$D$6824,M129,'post-audit-active-backlog-statu'!$G$2:$G$6824,"PolicyResolvedNoChange")</f>
        <v>3</v>
      </c>
      <c r="Q129" s="6">
        <f>COUNTIFS('post-audit-active-backlog-statu'!$D$2:$D$6824,M129,'post-audit-active-backlog-statu'!$G$2:$G$6824,"BlocksOnlyThisDomain")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COUNTIF('post-audit-active-backlog-statu'!$D$2:$D$6824,M130)</f>
        <v>2</v>
      </c>
      <c r="O130" s="6">
        <f>COUNTIFS('post-audit-active-backlog-statu'!$D$2:$D$6824,M130,'post-audit-active-backlog-statu'!$G$2:$G$6824,"Fixed")</f>
        <v>0</v>
      </c>
      <c r="P130" s="6">
        <f>COUNTIFS('post-audit-active-backlog-statu'!$D$2:$D$6824,M130,'post-audit-active-backlog-statu'!$G$2:$G$6824,"ReviewedNoChange")+COUNTIFS('post-audit-active-backlog-statu'!$D$2:$D$6824,M130,'post-audit-active-backlog-statu'!$G$2:$G$6824,"SafeNoChange")+COUNTIFS('post-audit-active-backlog-statu'!$D$2:$D$6824,M130,'post-audit-active-backlog-statu'!$G$2:$G$6824,"PolicyResolvedNoChange")</f>
        <v>2</v>
      </c>
      <c r="Q130" s="6">
        <f>COUNTIFS('post-audit-active-backlog-statu'!$D$2:$D$6824,M130,'post-audit-active-backlog-statu'!$G$2:$G$6824,"BlocksOnlyThisDomain")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COUNTIF('post-audit-active-backlog-statu'!$D$2:$D$6824,M131)</f>
        <v>2</v>
      </c>
      <c r="O131" s="6">
        <f>COUNTIFS('post-audit-active-backlog-statu'!$D$2:$D$6824,M131,'post-audit-active-backlog-statu'!$G$2:$G$6824,"Fixed")</f>
        <v>0</v>
      </c>
      <c r="P131" s="6">
        <f>COUNTIFS('post-audit-active-backlog-statu'!$D$2:$D$6824,M131,'post-audit-active-backlog-statu'!$G$2:$G$6824,"ReviewedNoChange")+COUNTIFS('post-audit-active-backlog-statu'!$D$2:$D$6824,M131,'post-audit-active-backlog-statu'!$G$2:$G$6824,"SafeNoChange")+COUNTIFS('post-audit-active-backlog-statu'!$D$2:$D$6824,M131,'post-audit-active-backlog-statu'!$G$2:$G$6824,"PolicyResolvedNoChange")</f>
        <v>1</v>
      </c>
      <c r="Q131" s="6">
        <f>COUNTIFS('post-audit-active-backlog-statu'!$D$2:$D$6824,M131,'post-audit-active-backlog-statu'!$G$2:$G$6824,"BlocksOnlyThisDomain")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COUNTIF('post-audit-active-backlog-statu'!$D$2:$D$6824,M132)</f>
        <v>2</v>
      </c>
      <c r="O132" s="6">
        <f>COUNTIFS('post-audit-active-backlog-statu'!$D$2:$D$6824,M132,'post-audit-active-backlog-statu'!$G$2:$G$6824,"Fixed")</f>
        <v>0</v>
      </c>
      <c r="P132" s="6">
        <f>COUNTIFS('post-audit-active-backlog-statu'!$D$2:$D$6824,M132,'post-audit-active-backlog-statu'!$G$2:$G$6824,"ReviewedNoChange")+COUNTIFS('post-audit-active-backlog-statu'!$D$2:$D$6824,M132,'post-audit-active-backlog-statu'!$G$2:$G$6824,"SafeNoChange")+COUNTIFS('post-audit-active-backlog-statu'!$D$2:$D$6824,M132,'post-audit-active-backlog-statu'!$G$2:$G$6824,"PolicyResolvedNoChange")</f>
        <v>0</v>
      </c>
      <c r="Q132" s="6">
        <f>COUNTIFS('post-audit-active-backlog-statu'!$D$2:$D$6824,M132,'post-audit-active-backlog-statu'!$G$2:$G$6824,"BlocksOnlyThisDomain")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COUNTIF('post-audit-active-backlog-statu'!$D$2:$D$6824,M133)</f>
        <v>2</v>
      </c>
      <c r="O133" s="6">
        <f>COUNTIFS('post-audit-active-backlog-statu'!$D$2:$D$6824,M133,'post-audit-active-backlog-statu'!$G$2:$G$6824,"Fixed")</f>
        <v>1</v>
      </c>
      <c r="P133" s="6">
        <f>COUNTIFS('post-audit-active-backlog-statu'!$D$2:$D$6824,M133,'post-audit-active-backlog-statu'!$G$2:$G$6824,"ReviewedNoChange")+COUNTIFS('post-audit-active-backlog-statu'!$D$2:$D$6824,M133,'post-audit-active-backlog-statu'!$G$2:$G$6824,"SafeNoChange")+COUNTIFS('post-audit-active-backlog-statu'!$D$2:$D$6824,M133,'post-audit-active-backlog-statu'!$G$2:$G$6824,"PolicyResolvedNoChange")</f>
        <v>1</v>
      </c>
      <c r="Q133" s="6">
        <f>COUNTIFS('post-audit-active-backlog-statu'!$D$2:$D$6824,M133,'post-audit-active-backlog-statu'!$G$2:$G$6824,"BlocksOnlyThisDomain")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COUNTIF('post-audit-active-backlog-statu'!$D$2:$D$6824,M134)</f>
        <v>2</v>
      </c>
      <c r="O134" s="6">
        <f>COUNTIFS('post-audit-active-backlog-statu'!$D$2:$D$6824,M134,'post-audit-active-backlog-statu'!$G$2:$G$6824,"Fixed")</f>
        <v>1</v>
      </c>
      <c r="P134" s="6">
        <f>COUNTIFS('post-audit-active-backlog-statu'!$D$2:$D$6824,M134,'post-audit-active-backlog-statu'!$G$2:$G$6824,"ReviewedNoChange")+COUNTIFS('post-audit-active-backlog-statu'!$D$2:$D$6824,M134,'post-audit-active-backlog-statu'!$G$2:$G$6824,"SafeNoChange")+COUNTIFS('post-audit-active-backlog-statu'!$D$2:$D$6824,M134,'post-audit-active-backlog-statu'!$G$2:$G$6824,"PolicyResolvedNoChange")</f>
        <v>1</v>
      </c>
      <c r="Q134" s="6">
        <f>COUNTIFS('post-audit-active-backlog-statu'!$D$2:$D$6824,M134,'post-audit-active-backlog-statu'!$G$2:$G$6824,"BlocksOnlyThisDomain")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COUNTIF('post-audit-active-backlog-statu'!$D$2:$D$6824,M135)</f>
        <v>2</v>
      </c>
      <c r="O135" s="6">
        <f>COUNTIFS('post-audit-active-backlog-statu'!$D$2:$D$6824,M135,'post-audit-active-backlog-statu'!$G$2:$G$6824,"Fixed")</f>
        <v>2</v>
      </c>
      <c r="P135" s="6">
        <f>COUNTIFS('post-audit-active-backlog-statu'!$D$2:$D$6824,M135,'post-audit-active-backlog-statu'!$G$2:$G$6824,"ReviewedNoChange")+COUNTIFS('post-audit-active-backlog-statu'!$D$2:$D$6824,M135,'post-audit-active-backlog-statu'!$G$2:$G$6824,"SafeNoChange")+COUNTIFS('post-audit-active-backlog-statu'!$D$2:$D$6824,M135,'post-audit-active-backlog-statu'!$G$2:$G$6824,"PolicyResolvedNoChange")</f>
        <v>0</v>
      </c>
      <c r="Q135" s="6">
        <f>COUNTIFS('post-audit-active-backlog-statu'!$D$2:$D$6824,M135,'post-audit-active-backlog-statu'!$G$2:$G$6824,"BlocksOnlyThisDomain")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COUNTIF('post-audit-active-backlog-statu'!$D$2:$D$6824,M136)</f>
        <v>2</v>
      </c>
      <c r="O136" s="6">
        <f>COUNTIFS('post-audit-active-backlog-statu'!$D$2:$D$6824,M136,'post-audit-active-backlog-statu'!$G$2:$G$6824,"Fixed")</f>
        <v>1</v>
      </c>
      <c r="P136" s="6">
        <f>COUNTIFS('post-audit-active-backlog-statu'!$D$2:$D$6824,M136,'post-audit-active-backlog-statu'!$G$2:$G$6824,"ReviewedNoChange")+COUNTIFS('post-audit-active-backlog-statu'!$D$2:$D$6824,M136,'post-audit-active-backlog-statu'!$G$2:$G$6824,"SafeNoChange")+COUNTIFS('post-audit-active-backlog-statu'!$D$2:$D$6824,M136,'post-audit-active-backlog-statu'!$G$2:$G$6824,"PolicyResolvedNoChange")</f>
        <v>1</v>
      </c>
      <c r="Q136" s="6">
        <f>COUNTIFS('post-audit-active-backlog-statu'!$D$2:$D$6824,M136,'post-audit-active-backlog-statu'!$G$2:$G$6824,"BlocksOnlyThisDomain")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COUNTIF('post-audit-active-backlog-statu'!$D$2:$D$6824,M137)</f>
        <v>2</v>
      </c>
      <c r="O137" s="6">
        <f>COUNTIFS('post-audit-active-backlog-statu'!$D$2:$D$6824,M137,'post-audit-active-backlog-statu'!$G$2:$G$6824,"Fixed")</f>
        <v>1</v>
      </c>
      <c r="P137" s="6">
        <f>COUNTIFS('post-audit-active-backlog-statu'!$D$2:$D$6824,M137,'post-audit-active-backlog-statu'!$G$2:$G$6824,"ReviewedNoChange")+COUNTIFS('post-audit-active-backlog-statu'!$D$2:$D$6824,M137,'post-audit-active-backlog-statu'!$G$2:$G$6824,"SafeNoChange")+COUNTIFS('post-audit-active-backlog-statu'!$D$2:$D$6824,M137,'post-audit-active-backlog-statu'!$G$2:$G$6824,"PolicyResolvedNoChange")</f>
        <v>1</v>
      </c>
      <c r="Q137" s="6">
        <f>COUNTIFS('post-audit-active-backlog-statu'!$D$2:$D$6824,M137,'post-audit-active-backlog-statu'!$G$2:$G$6824,"BlocksOnlyThisDomain")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COUNTIF('post-audit-active-backlog-statu'!$D$2:$D$6824,M138)</f>
        <v>2</v>
      </c>
      <c r="O138" s="6">
        <f>COUNTIFS('post-audit-active-backlog-statu'!$D$2:$D$6824,M138,'post-audit-active-backlog-statu'!$G$2:$G$6824,"Fixed")</f>
        <v>1</v>
      </c>
      <c r="P138" s="6">
        <f>COUNTIFS('post-audit-active-backlog-statu'!$D$2:$D$6824,M138,'post-audit-active-backlog-statu'!$G$2:$G$6824,"ReviewedNoChange")+COUNTIFS('post-audit-active-backlog-statu'!$D$2:$D$6824,M138,'post-audit-active-backlog-statu'!$G$2:$G$6824,"SafeNoChange")+COUNTIFS('post-audit-active-backlog-statu'!$D$2:$D$6824,M138,'post-audit-active-backlog-statu'!$G$2:$G$6824,"PolicyResolvedNoChange")</f>
        <v>1</v>
      </c>
      <c r="Q138" s="6">
        <f>COUNTIFS('post-audit-active-backlog-statu'!$D$2:$D$6824,M138,'post-audit-active-backlog-statu'!$G$2:$G$6824,"BlocksOnlyThisDomain")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COUNTIF('post-audit-active-backlog-statu'!$D$2:$D$6824,M139)</f>
        <v>2</v>
      </c>
      <c r="O139" s="6">
        <f>COUNTIFS('post-audit-active-backlog-statu'!$D$2:$D$6824,M139,'post-audit-active-backlog-statu'!$G$2:$G$6824,"Fixed")</f>
        <v>1</v>
      </c>
      <c r="P139" s="6">
        <f>COUNTIFS('post-audit-active-backlog-statu'!$D$2:$D$6824,M139,'post-audit-active-backlog-statu'!$G$2:$G$6824,"ReviewedNoChange")+COUNTIFS('post-audit-active-backlog-statu'!$D$2:$D$6824,M139,'post-audit-active-backlog-statu'!$G$2:$G$6824,"SafeNoChange")+COUNTIFS('post-audit-active-backlog-statu'!$D$2:$D$6824,M139,'post-audit-active-backlog-statu'!$G$2:$G$6824,"PolicyResolvedNoChange")</f>
        <v>1</v>
      </c>
      <c r="Q139" s="6">
        <f>COUNTIFS('post-audit-active-backlog-statu'!$D$2:$D$6824,M139,'post-audit-active-backlog-statu'!$G$2:$G$6824,"BlocksOnlyThisDomain")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COUNTIF('post-audit-active-backlog-statu'!$D$2:$D$6824,M140)</f>
        <v>2</v>
      </c>
      <c r="O140" s="6">
        <f>COUNTIFS('post-audit-active-backlog-statu'!$D$2:$D$6824,M140,'post-audit-active-backlog-statu'!$G$2:$G$6824,"Fixed")</f>
        <v>2</v>
      </c>
      <c r="P140" s="6">
        <f>COUNTIFS('post-audit-active-backlog-statu'!$D$2:$D$6824,M140,'post-audit-active-backlog-statu'!$G$2:$G$6824,"ReviewedNoChange")+COUNTIFS('post-audit-active-backlog-statu'!$D$2:$D$6824,M140,'post-audit-active-backlog-statu'!$G$2:$G$6824,"SafeNoChange")+COUNTIFS('post-audit-active-backlog-statu'!$D$2:$D$6824,M140,'post-audit-active-backlog-statu'!$G$2:$G$6824,"PolicyResolvedNoChange")</f>
        <v>0</v>
      </c>
      <c r="Q140" s="6">
        <f>COUNTIFS('post-audit-active-backlog-statu'!$D$2:$D$6824,M140,'post-audit-active-backlog-statu'!$G$2:$G$6824,"BlocksOnlyThisDomain")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COUNTIF('post-audit-active-backlog-statu'!$D$2:$D$6824,M141)</f>
        <v>2</v>
      </c>
      <c r="O141" s="6">
        <f>COUNTIFS('post-audit-active-backlog-statu'!$D$2:$D$6824,M141,'post-audit-active-backlog-statu'!$G$2:$G$6824,"Fixed")</f>
        <v>2</v>
      </c>
      <c r="P141" s="6">
        <f>COUNTIFS('post-audit-active-backlog-statu'!$D$2:$D$6824,M141,'post-audit-active-backlog-statu'!$G$2:$G$6824,"ReviewedNoChange")+COUNTIFS('post-audit-active-backlog-statu'!$D$2:$D$6824,M141,'post-audit-active-backlog-statu'!$G$2:$G$6824,"SafeNoChange")+COUNTIFS('post-audit-active-backlog-statu'!$D$2:$D$6824,M141,'post-audit-active-backlog-statu'!$G$2:$G$6824,"PolicyResolvedNoChange")</f>
        <v>0</v>
      </c>
      <c r="Q141" s="6">
        <f>COUNTIFS('post-audit-active-backlog-statu'!$D$2:$D$6824,M141,'post-audit-active-backlog-statu'!$G$2:$G$6824,"BlocksOnlyThisDomain")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COUNTIF('post-audit-active-backlog-statu'!$D$2:$D$6824,M142)</f>
        <v>2</v>
      </c>
      <c r="O142" s="6">
        <f>COUNTIFS('post-audit-active-backlog-statu'!$D$2:$D$6824,M142,'post-audit-active-backlog-statu'!$G$2:$G$6824,"Fixed")</f>
        <v>2</v>
      </c>
      <c r="P142" s="6">
        <f>COUNTIFS('post-audit-active-backlog-statu'!$D$2:$D$6824,M142,'post-audit-active-backlog-statu'!$G$2:$G$6824,"ReviewedNoChange")+COUNTIFS('post-audit-active-backlog-statu'!$D$2:$D$6824,M142,'post-audit-active-backlog-statu'!$G$2:$G$6824,"SafeNoChange")+COUNTIFS('post-audit-active-backlog-statu'!$D$2:$D$6824,M142,'post-audit-active-backlog-statu'!$G$2:$G$6824,"PolicyResolvedNoChange")</f>
        <v>0</v>
      </c>
      <c r="Q142" s="6">
        <f>COUNTIFS('post-audit-active-backlog-statu'!$D$2:$D$6824,M142,'post-audit-active-backlog-statu'!$G$2:$G$6824,"BlocksOnlyThisDomain")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COUNTIF('post-audit-active-backlog-statu'!$D$2:$D$6824,M143)</f>
        <v>2</v>
      </c>
      <c r="O143" s="6">
        <f>COUNTIFS('post-audit-active-backlog-statu'!$D$2:$D$6824,M143,'post-audit-active-backlog-statu'!$G$2:$G$6824,"Fixed")</f>
        <v>0</v>
      </c>
      <c r="P143" s="6">
        <f>COUNTIFS('post-audit-active-backlog-statu'!$D$2:$D$6824,M143,'post-audit-active-backlog-statu'!$G$2:$G$6824,"ReviewedNoChange")+COUNTIFS('post-audit-active-backlog-statu'!$D$2:$D$6824,M143,'post-audit-active-backlog-statu'!$G$2:$G$6824,"SafeNoChange")+COUNTIFS('post-audit-active-backlog-statu'!$D$2:$D$6824,M143,'post-audit-active-backlog-statu'!$G$2:$G$6824,"PolicyResolvedNoChange")</f>
        <v>1</v>
      </c>
      <c r="Q143" s="6">
        <f>COUNTIFS('post-audit-active-backlog-statu'!$D$2:$D$6824,M143,'post-audit-active-backlog-statu'!$G$2:$G$6824,"BlocksOnlyThisDomain")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COUNTIF('post-audit-active-backlog-statu'!$D$2:$D$6824,M144)</f>
        <v>2</v>
      </c>
      <c r="O144" s="6">
        <f>COUNTIFS('post-audit-active-backlog-statu'!$D$2:$D$6824,M144,'post-audit-active-backlog-statu'!$G$2:$G$6824,"Fixed")</f>
        <v>0</v>
      </c>
      <c r="P144" s="6">
        <f>COUNTIFS('post-audit-active-backlog-statu'!$D$2:$D$6824,M144,'post-audit-active-backlog-statu'!$G$2:$G$6824,"ReviewedNoChange")+COUNTIFS('post-audit-active-backlog-statu'!$D$2:$D$6824,M144,'post-audit-active-backlog-statu'!$G$2:$G$6824,"SafeNoChange")+COUNTIFS('post-audit-active-backlog-statu'!$D$2:$D$6824,M144,'post-audit-active-backlog-statu'!$G$2:$G$6824,"PolicyResolvedNoChange")</f>
        <v>0</v>
      </c>
      <c r="Q144" s="6">
        <f>COUNTIFS('post-audit-active-backlog-statu'!$D$2:$D$6824,M144,'post-audit-active-backlog-statu'!$G$2:$G$6824,"BlocksOnlyThisDomain")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COUNTIF('post-audit-active-backlog-statu'!$D$2:$D$6824,M145)</f>
        <v>1</v>
      </c>
      <c r="O145" s="6">
        <f>COUNTIFS('post-audit-active-backlog-statu'!$D$2:$D$6824,M145,'post-audit-active-backlog-statu'!$G$2:$G$6824,"Fixed")</f>
        <v>0</v>
      </c>
      <c r="P145" s="6">
        <f>COUNTIFS('post-audit-active-backlog-statu'!$D$2:$D$6824,M145,'post-audit-active-backlog-statu'!$G$2:$G$6824,"ReviewedNoChange")+COUNTIFS('post-audit-active-backlog-statu'!$D$2:$D$6824,M145,'post-audit-active-backlog-statu'!$G$2:$G$6824,"SafeNoChange")+COUNTIFS('post-audit-active-backlog-statu'!$D$2:$D$6824,M145,'post-audit-active-backlog-statu'!$G$2:$G$6824,"PolicyResolvedNoChange")</f>
        <v>0</v>
      </c>
      <c r="Q145" s="6">
        <f>COUNTIFS('post-audit-active-backlog-statu'!$D$2:$D$6824,M145,'post-audit-active-backlog-statu'!$G$2:$G$6824,"BlocksOnlyThisDomain")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COUNTIF('post-audit-active-backlog-statu'!$D$2:$D$6824,M146)</f>
        <v>1</v>
      </c>
      <c r="O146" s="6">
        <f>COUNTIFS('post-audit-active-backlog-statu'!$D$2:$D$6824,M146,'post-audit-active-backlog-statu'!$G$2:$G$6824,"Fixed")</f>
        <v>1</v>
      </c>
      <c r="P146" s="6">
        <f>COUNTIFS('post-audit-active-backlog-statu'!$D$2:$D$6824,M146,'post-audit-active-backlog-statu'!$G$2:$G$6824,"ReviewedNoChange")+COUNTIFS('post-audit-active-backlog-statu'!$D$2:$D$6824,M146,'post-audit-active-backlog-statu'!$G$2:$G$6824,"SafeNoChange")+COUNTIFS('post-audit-active-backlog-statu'!$D$2:$D$6824,M146,'post-audit-active-backlog-statu'!$G$2:$G$6824,"PolicyResolvedNoChange")</f>
        <v>0</v>
      </c>
      <c r="Q146" s="6">
        <f>COUNTIFS('post-audit-active-backlog-statu'!$D$2:$D$6824,M146,'post-audit-active-backlog-statu'!$G$2:$G$6824,"BlocksOnlyThisDomain")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COUNTIF('post-audit-active-backlog-statu'!$D$2:$D$6824,M147)</f>
        <v>1</v>
      </c>
      <c r="O147" s="6">
        <f>COUNTIFS('post-audit-active-backlog-statu'!$D$2:$D$6824,M147,'post-audit-active-backlog-statu'!$G$2:$G$6824,"Fixed")</f>
        <v>1</v>
      </c>
      <c r="P147" s="6">
        <f>COUNTIFS('post-audit-active-backlog-statu'!$D$2:$D$6824,M147,'post-audit-active-backlog-statu'!$G$2:$G$6824,"ReviewedNoChange")+COUNTIFS('post-audit-active-backlog-statu'!$D$2:$D$6824,M147,'post-audit-active-backlog-statu'!$G$2:$G$6824,"SafeNoChange")+COUNTIFS('post-audit-active-backlog-statu'!$D$2:$D$6824,M147,'post-audit-active-backlog-statu'!$G$2:$G$6824,"PolicyResolvedNoChange")</f>
        <v>0</v>
      </c>
      <c r="Q147" s="6">
        <f>COUNTIFS('post-audit-active-backlog-statu'!$D$2:$D$6824,M147,'post-audit-active-backlog-statu'!$G$2:$G$6824,"BlocksOnlyThisDomain")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COUNTIF('post-audit-active-backlog-statu'!$D$2:$D$6824,M148)</f>
        <v>1</v>
      </c>
      <c r="O148" s="6">
        <f>COUNTIFS('post-audit-active-backlog-statu'!$D$2:$D$6824,M148,'post-audit-active-backlog-statu'!$G$2:$G$6824,"Fixed")</f>
        <v>1</v>
      </c>
      <c r="P148" s="6">
        <f>COUNTIFS('post-audit-active-backlog-statu'!$D$2:$D$6824,M148,'post-audit-active-backlog-statu'!$G$2:$G$6824,"ReviewedNoChange")+COUNTIFS('post-audit-active-backlog-statu'!$D$2:$D$6824,M148,'post-audit-active-backlog-statu'!$G$2:$G$6824,"SafeNoChange")+COUNTIFS('post-audit-active-backlog-statu'!$D$2:$D$6824,M148,'post-audit-active-backlog-statu'!$G$2:$G$6824,"PolicyResolvedNoChange")</f>
        <v>0</v>
      </c>
      <c r="Q148" s="6">
        <f>COUNTIFS('post-audit-active-backlog-statu'!$D$2:$D$6824,M148,'post-audit-active-backlog-statu'!$G$2:$G$6824,"BlocksOnlyThisDomain")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COUNTIF('post-audit-active-backlog-statu'!$D$2:$D$6824,M149)</f>
        <v>1</v>
      </c>
      <c r="O149" s="6">
        <f>COUNTIFS('post-audit-active-backlog-statu'!$D$2:$D$6824,M149,'post-audit-active-backlog-statu'!$G$2:$G$6824,"Fixed")</f>
        <v>0</v>
      </c>
      <c r="P149" s="6">
        <f>COUNTIFS('post-audit-active-backlog-statu'!$D$2:$D$6824,M149,'post-audit-active-backlog-statu'!$G$2:$G$6824,"ReviewedNoChange")+COUNTIFS('post-audit-active-backlog-statu'!$D$2:$D$6824,M149,'post-audit-active-backlog-statu'!$G$2:$G$6824,"SafeNoChange")+COUNTIFS('post-audit-active-backlog-statu'!$D$2:$D$6824,M149,'post-audit-active-backlog-statu'!$G$2:$G$6824,"PolicyResolvedNoChange")</f>
        <v>0</v>
      </c>
      <c r="Q149" s="6">
        <f>COUNTIFS('post-audit-active-backlog-statu'!$D$2:$D$6824,M149,'post-audit-active-backlog-statu'!$G$2:$G$6824,"BlocksOnlyThisDomain")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COUNTIF('post-audit-active-backlog-statu'!$D$2:$D$6824,M150)</f>
        <v>1</v>
      </c>
      <c r="O150" s="6">
        <f>COUNTIFS('post-audit-active-backlog-statu'!$D$2:$D$6824,M150,'post-audit-active-backlog-statu'!$G$2:$G$6824,"Fixed")</f>
        <v>0</v>
      </c>
      <c r="P150" s="6">
        <f>COUNTIFS('post-audit-active-backlog-statu'!$D$2:$D$6824,M150,'post-audit-active-backlog-statu'!$G$2:$G$6824,"ReviewedNoChange")+COUNTIFS('post-audit-active-backlog-statu'!$D$2:$D$6824,M150,'post-audit-active-backlog-statu'!$G$2:$G$6824,"SafeNoChange")+COUNTIFS('post-audit-active-backlog-statu'!$D$2:$D$6824,M150,'post-audit-active-backlog-statu'!$G$2:$G$6824,"PolicyResolvedNoChange")</f>
        <v>0</v>
      </c>
      <c r="Q150" s="6">
        <f>COUNTIFS('post-audit-active-backlog-statu'!$D$2:$D$6824,M150,'post-audit-active-backlog-statu'!$G$2:$G$6824,"BlocksOnlyThisDomain")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COUNTIF('post-audit-active-backlog-statu'!$D$2:$D$6824,M151)</f>
        <v>1</v>
      </c>
      <c r="O151" s="6">
        <f>COUNTIFS('post-audit-active-backlog-statu'!$D$2:$D$6824,M151,'post-audit-active-backlog-statu'!$G$2:$G$6824,"Fixed")</f>
        <v>0</v>
      </c>
      <c r="P151" s="6">
        <f>COUNTIFS('post-audit-active-backlog-statu'!$D$2:$D$6824,M151,'post-audit-active-backlog-statu'!$G$2:$G$6824,"ReviewedNoChange")+COUNTIFS('post-audit-active-backlog-statu'!$D$2:$D$6824,M151,'post-audit-active-backlog-statu'!$G$2:$G$6824,"SafeNoChange")+COUNTIFS('post-audit-active-backlog-statu'!$D$2:$D$6824,M151,'post-audit-active-backlog-statu'!$G$2:$G$6824,"PolicyResolvedNoChange")</f>
        <v>0</v>
      </c>
      <c r="Q151" s="6">
        <f>COUNTIFS('post-audit-active-backlog-statu'!$D$2:$D$6824,M151,'post-audit-active-backlog-statu'!$G$2:$G$6824,"BlocksOnlyThisDomain")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COUNTIF('post-audit-active-backlog-statu'!$D$2:$D$6824,M152)</f>
        <v>1</v>
      </c>
      <c r="O152" s="6">
        <f>COUNTIFS('post-audit-active-backlog-statu'!$D$2:$D$6824,M152,'post-audit-active-backlog-statu'!$G$2:$G$6824,"Fixed")</f>
        <v>0</v>
      </c>
      <c r="P152" s="6">
        <f>COUNTIFS('post-audit-active-backlog-statu'!$D$2:$D$6824,M152,'post-audit-active-backlog-statu'!$G$2:$G$6824,"ReviewedNoChange")+COUNTIFS('post-audit-active-backlog-statu'!$D$2:$D$6824,M152,'post-audit-active-backlog-statu'!$G$2:$G$6824,"SafeNoChange")+COUNTIFS('post-audit-active-backlog-statu'!$D$2:$D$6824,M152,'post-audit-active-backlog-statu'!$G$2:$G$6824,"PolicyResolvedNoChange")</f>
        <v>0</v>
      </c>
      <c r="Q152" s="6">
        <f>COUNTIFS('post-audit-active-backlog-statu'!$D$2:$D$6824,M152,'post-audit-active-backlog-statu'!$G$2:$G$6824,"BlocksOnlyThisDomain")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COUNTIF('post-audit-active-backlog-statu'!$D$2:$D$6824,M153)</f>
        <v>1</v>
      </c>
      <c r="O153" s="6">
        <f>COUNTIFS('post-audit-active-backlog-statu'!$D$2:$D$6824,M153,'post-audit-active-backlog-statu'!$G$2:$G$6824,"Fixed")</f>
        <v>0</v>
      </c>
      <c r="P153" s="6">
        <f>COUNTIFS('post-audit-active-backlog-statu'!$D$2:$D$6824,M153,'post-audit-active-backlog-statu'!$G$2:$G$6824,"ReviewedNoChange")+COUNTIFS('post-audit-active-backlog-statu'!$D$2:$D$6824,M153,'post-audit-active-backlog-statu'!$G$2:$G$6824,"SafeNoChange")+COUNTIFS('post-audit-active-backlog-statu'!$D$2:$D$6824,M153,'post-audit-active-backlog-statu'!$G$2:$G$6824,"PolicyResolvedNoChange")</f>
        <v>0</v>
      </c>
      <c r="Q153" s="6">
        <f>COUNTIFS('post-audit-active-backlog-statu'!$D$2:$D$6824,M153,'post-audit-active-backlog-statu'!$G$2:$G$6824,"BlocksOnlyThisDomain")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COUNTIF('post-audit-active-backlog-statu'!$D$2:$D$6824,M154)</f>
        <v>1</v>
      </c>
      <c r="O154" s="6">
        <f>COUNTIFS('post-audit-active-backlog-statu'!$D$2:$D$6824,M154,'post-audit-active-backlog-statu'!$G$2:$G$6824,"Fixed")</f>
        <v>0</v>
      </c>
      <c r="P154" s="6">
        <f>COUNTIFS('post-audit-active-backlog-statu'!$D$2:$D$6824,M154,'post-audit-active-backlog-statu'!$G$2:$G$6824,"ReviewedNoChange")+COUNTIFS('post-audit-active-backlog-statu'!$D$2:$D$6824,M154,'post-audit-active-backlog-statu'!$G$2:$G$6824,"SafeNoChange")+COUNTIFS('post-audit-active-backlog-statu'!$D$2:$D$6824,M154,'post-audit-active-backlog-statu'!$G$2:$G$6824,"PolicyResolvedNoChange")</f>
        <v>0</v>
      </c>
      <c r="Q154" s="6">
        <f>COUNTIFS('post-audit-active-backlog-statu'!$D$2:$D$6824,M154,'post-audit-active-backlog-statu'!$G$2:$G$6824,"BlocksOnlyThisDomain")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COUNTIF('post-audit-active-backlog-statu'!$D$2:$D$6824,M155)</f>
        <v>1</v>
      </c>
      <c r="O155" s="6">
        <f>COUNTIFS('post-audit-active-backlog-statu'!$D$2:$D$6824,M155,'post-audit-active-backlog-statu'!$G$2:$G$6824,"Fixed")</f>
        <v>0</v>
      </c>
      <c r="P155" s="6">
        <f>COUNTIFS('post-audit-active-backlog-statu'!$D$2:$D$6824,M155,'post-audit-active-backlog-statu'!$G$2:$G$6824,"ReviewedNoChange")+COUNTIFS('post-audit-active-backlog-statu'!$D$2:$D$6824,M155,'post-audit-active-backlog-statu'!$G$2:$G$6824,"SafeNoChange")+COUNTIFS('post-audit-active-backlog-statu'!$D$2:$D$6824,M155,'post-audit-active-backlog-statu'!$G$2:$G$6824,"PolicyResolvedNoChange")</f>
        <v>0</v>
      </c>
      <c r="Q155" s="6">
        <f>COUNTIFS('post-audit-active-backlog-statu'!$D$2:$D$6824,M155,'post-audit-active-backlog-statu'!$G$2:$G$6824,"BlocksOnlyThisDomain")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COUNTIF('post-audit-active-backlog-statu'!$D$2:$D$6824,M156)</f>
        <v>1</v>
      </c>
      <c r="O156" s="6">
        <f>COUNTIFS('post-audit-active-backlog-statu'!$D$2:$D$6824,M156,'post-audit-active-backlog-statu'!$G$2:$G$6824,"Fixed")</f>
        <v>0</v>
      </c>
      <c r="P156" s="6">
        <f>COUNTIFS('post-audit-active-backlog-statu'!$D$2:$D$6824,M156,'post-audit-active-backlog-statu'!$G$2:$G$6824,"ReviewedNoChange")+COUNTIFS('post-audit-active-backlog-statu'!$D$2:$D$6824,M156,'post-audit-active-backlog-statu'!$G$2:$G$6824,"SafeNoChange")+COUNTIFS('post-audit-active-backlog-statu'!$D$2:$D$6824,M156,'post-audit-active-backlog-statu'!$G$2:$G$6824,"PolicyResolvedNoChange")</f>
        <v>0</v>
      </c>
      <c r="Q156" s="6">
        <f>COUNTIFS('post-audit-active-backlog-statu'!$D$2:$D$6824,M156,'post-audit-active-backlog-statu'!$G$2:$G$6824,"BlocksOnlyThisDomain")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COUNTIF('post-audit-active-backlog-statu'!$D$2:$D$6824,M157)</f>
        <v>1</v>
      </c>
      <c r="O157" s="6">
        <f>COUNTIFS('post-audit-active-backlog-statu'!$D$2:$D$6824,M157,'post-audit-active-backlog-statu'!$G$2:$G$6824,"Fixed")</f>
        <v>0</v>
      </c>
      <c r="P157" s="6">
        <f>COUNTIFS('post-audit-active-backlog-statu'!$D$2:$D$6824,M157,'post-audit-active-backlog-statu'!$G$2:$G$6824,"ReviewedNoChange")+COUNTIFS('post-audit-active-backlog-statu'!$D$2:$D$6824,M157,'post-audit-active-backlog-statu'!$G$2:$G$6824,"SafeNoChange")+COUNTIFS('post-audit-active-backlog-statu'!$D$2:$D$6824,M157,'post-audit-active-backlog-statu'!$G$2:$G$6824,"PolicyResolvedNoChange")</f>
        <v>0</v>
      </c>
      <c r="Q157" s="6">
        <f>COUNTIFS('post-audit-active-backlog-statu'!$D$2:$D$6824,M157,'post-audit-active-backlog-statu'!$G$2:$G$6824,"BlocksOnlyThisDomain")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COUNTIF('post-audit-active-backlog-statu'!$D$2:$D$6824,M158)</f>
        <v>1</v>
      </c>
      <c r="O158" s="6">
        <f>COUNTIFS('post-audit-active-backlog-statu'!$D$2:$D$6824,M158,'post-audit-active-backlog-statu'!$G$2:$G$6824,"Fixed")</f>
        <v>0</v>
      </c>
      <c r="P158" s="6">
        <f>COUNTIFS('post-audit-active-backlog-statu'!$D$2:$D$6824,M158,'post-audit-active-backlog-statu'!$G$2:$G$6824,"ReviewedNoChange")+COUNTIFS('post-audit-active-backlog-statu'!$D$2:$D$6824,M158,'post-audit-active-backlog-statu'!$G$2:$G$6824,"SafeNoChange")+COUNTIFS('post-audit-active-backlog-statu'!$D$2:$D$6824,M158,'post-audit-active-backlog-statu'!$G$2:$G$6824,"PolicyResolvedNoChange")</f>
        <v>0</v>
      </c>
      <c r="Q158" s="6">
        <f>COUNTIFS('post-audit-active-backlog-statu'!$D$2:$D$6824,M158,'post-audit-active-backlog-statu'!$G$2:$G$6824,"BlocksOnlyThisDomain")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COUNTIF('post-audit-active-backlog-statu'!$D$2:$D$6824,M159)</f>
        <v>1</v>
      </c>
      <c r="O159" s="6">
        <f>COUNTIFS('post-audit-active-backlog-statu'!$D$2:$D$6824,M159,'post-audit-active-backlog-statu'!$G$2:$G$6824,"Fixed")</f>
        <v>0</v>
      </c>
      <c r="P159" s="6">
        <f>COUNTIFS('post-audit-active-backlog-statu'!$D$2:$D$6824,M159,'post-audit-active-backlog-statu'!$G$2:$G$6824,"ReviewedNoChange")+COUNTIFS('post-audit-active-backlog-statu'!$D$2:$D$6824,M159,'post-audit-active-backlog-statu'!$G$2:$G$6824,"SafeNoChange")+COUNTIFS('post-audit-active-backlog-statu'!$D$2:$D$6824,M159,'post-audit-active-backlog-statu'!$G$2:$G$6824,"PolicyResolvedNoChange")</f>
        <v>0</v>
      </c>
      <c r="Q159" s="6">
        <f>COUNTIFS('post-audit-active-backlog-statu'!$D$2:$D$6824,M159,'post-audit-active-backlog-statu'!$G$2:$G$6824,"BlocksOnlyThisDomain")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COUNTIF('post-audit-active-backlog-statu'!$D$2:$D$6824,M160)</f>
        <v>1</v>
      </c>
      <c r="O160" s="6">
        <f>COUNTIFS('post-audit-active-backlog-statu'!$D$2:$D$6824,M160,'post-audit-active-backlog-statu'!$G$2:$G$6824,"Fixed")</f>
        <v>0</v>
      </c>
      <c r="P160" s="6">
        <f>COUNTIFS('post-audit-active-backlog-statu'!$D$2:$D$6824,M160,'post-audit-active-backlog-statu'!$G$2:$G$6824,"ReviewedNoChange")+COUNTIFS('post-audit-active-backlog-statu'!$D$2:$D$6824,M160,'post-audit-active-backlog-statu'!$G$2:$G$6824,"SafeNoChange")+COUNTIFS('post-audit-active-backlog-statu'!$D$2:$D$6824,M160,'post-audit-active-backlog-statu'!$G$2:$G$6824,"PolicyResolvedNoChange")</f>
        <v>0</v>
      </c>
      <c r="Q160" s="6">
        <f>COUNTIFS('post-audit-active-backlog-statu'!$D$2:$D$6824,M160,'post-audit-active-backlog-statu'!$G$2:$G$6824,"BlocksOnlyThisDomain")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COUNTIF('post-audit-active-backlog-statu'!$D$2:$D$6824,M161)</f>
        <v>1</v>
      </c>
      <c r="O161" s="6">
        <f>COUNTIFS('post-audit-active-backlog-statu'!$D$2:$D$6824,M161,'post-audit-active-backlog-statu'!$G$2:$G$6824,"Fixed")</f>
        <v>0</v>
      </c>
      <c r="P161" s="6">
        <f>COUNTIFS('post-audit-active-backlog-statu'!$D$2:$D$6824,M161,'post-audit-active-backlog-statu'!$G$2:$G$6824,"ReviewedNoChange")+COUNTIFS('post-audit-active-backlog-statu'!$D$2:$D$6824,M161,'post-audit-active-backlog-statu'!$G$2:$G$6824,"SafeNoChange")+COUNTIFS('post-audit-active-backlog-statu'!$D$2:$D$6824,M161,'post-audit-active-backlog-statu'!$G$2:$G$6824,"PolicyResolvedNoChange")</f>
        <v>0</v>
      </c>
      <c r="Q161" s="6">
        <f>COUNTIFS('post-audit-active-backlog-statu'!$D$2:$D$6824,M161,'post-audit-active-backlog-statu'!$G$2:$G$6824,"BlocksOnlyThisDomain")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COUNTIF('post-audit-active-backlog-statu'!$D$2:$D$6824,M162)</f>
        <v>1</v>
      </c>
      <c r="O162" s="6">
        <f>COUNTIFS('post-audit-active-backlog-statu'!$D$2:$D$6824,M162,'post-audit-active-backlog-statu'!$G$2:$G$6824,"Fixed")</f>
        <v>0</v>
      </c>
      <c r="P162" s="6">
        <f>COUNTIFS('post-audit-active-backlog-statu'!$D$2:$D$6824,M162,'post-audit-active-backlog-statu'!$G$2:$G$6824,"ReviewedNoChange")+COUNTIFS('post-audit-active-backlog-statu'!$D$2:$D$6824,M162,'post-audit-active-backlog-statu'!$G$2:$G$6824,"SafeNoChange")+COUNTIFS('post-audit-active-backlog-statu'!$D$2:$D$6824,M162,'post-audit-active-backlog-statu'!$G$2:$G$6824,"PolicyResolvedNoChange")</f>
        <v>0</v>
      </c>
      <c r="Q162" s="6">
        <f>COUNTIFS('post-audit-active-backlog-statu'!$D$2:$D$6824,M162,'post-audit-active-backlog-statu'!$G$2:$G$6824,"BlocksOnlyThisDomain")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COUNTIF('post-audit-active-backlog-statu'!$D$2:$D$6824,M163)</f>
        <v>1</v>
      </c>
      <c r="O163" s="6">
        <f>COUNTIFS('post-audit-active-backlog-statu'!$D$2:$D$6824,M163,'post-audit-active-backlog-statu'!$G$2:$G$6824,"Fixed")</f>
        <v>0</v>
      </c>
      <c r="P163" s="6">
        <f>COUNTIFS('post-audit-active-backlog-statu'!$D$2:$D$6824,M163,'post-audit-active-backlog-statu'!$G$2:$G$6824,"ReviewedNoChange")+COUNTIFS('post-audit-active-backlog-statu'!$D$2:$D$6824,M163,'post-audit-active-backlog-statu'!$G$2:$G$6824,"SafeNoChange")+COUNTIFS('post-audit-active-backlog-statu'!$D$2:$D$6824,M163,'post-audit-active-backlog-statu'!$G$2:$G$6824,"PolicyResolvedNoChange")</f>
        <v>0</v>
      </c>
      <c r="Q163" s="6">
        <f>COUNTIFS('post-audit-active-backlog-statu'!$D$2:$D$6824,M163,'post-audit-active-backlog-statu'!$G$2:$G$6824,"BlocksOnlyThisDomain")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COUNTIF('post-audit-active-backlog-statu'!$D$2:$D$6824,M164)</f>
        <v>1</v>
      </c>
      <c r="O164" s="6">
        <f>COUNTIFS('post-audit-active-backlog-statu'!$D$2:$D$6824,M164,'post-audit-active-backlog-statu'!$G$2:$G$6824,"Fixed")</f>
        <v>0</v>
      </c>
      <c r="P164" s="6">
        <f>COUNTIFS('post-audit-active-backlog-statu'!$D$2:$D$6824,M164,'post-audit-active-backlog-statu'!$G$2:$G$6824,"ReviewedNoChange")+COUNTIFS('post-audit-active-backlog-statu'!$D$2:$D$6824,M164,'post-audit-active-backlog-statu'!$G$2:$G$6824,"SafeNoChange")+COUNTIFS('post-audit-active-backlog-statu'!$D$2:$D$6824,M164,'post-audit-active-backlog-statu'!$G$2:$G$6824,"PolicyResolvedNoChange")</f>
        <v>0</v>
      </c>
      <c r="Q164" s="6">
        <f>COUNTIFS('post-audit-active-backlog-statu'!$D$2:$D$6824,M164,'post-audit-active-backlog-statu'!$G$2:$G$6824,"BlocksOnlyThisDomain")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COUNTIF('post-audit-active-backlog-statu'!$D$2:$D$6824,M165)</f>
        <v>1</v>
      </c>
      <c r="O165" s="6">
        <f>COUNTIFS('post-audit-active-backlog-statu'!$D$2:$D$6824,M165,'post-audit-active-backlog-statu'!$G$2:$G$6824,"Fixed")</f>
        <v>0</v>
      </c>
      <c r="P165" s="6">
        <f>COUNTIFS('post-audit-active-backlog-statu'!$D$2:$D$6824,M165,'post-audit-active-backlog-statu'!$G$2:$G$6824,"ReviewedNoChange")+COUNTIFS('post-audit-active-backlog-statu'!$D$2:$D$6824,M165,'post-audit-active-backlog-statu'!$G$2:$G$6824,"SafeNoChange")+COUNTIFS('post-audit-active-backlog-statu'!$D$2:$D$6824,M165,'post-audit-active-backlog-statu'!$G$2:$G$6824,"PolicyResolvedNoChange")</f>
        <v>0</v>
      </c>
      <c r="Q165" s="6">
        <f>COUNTIFS('post-audit-active-backlog-statu'!$D$2:$D$6824,M165,'post-audit-active-backlog-statu'!$G$2:$G$6824,"BlocksOnlyThisDomain")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COUNTIF('post-audit-active-backlog-statu'!$D$2:$D$6824,M166)</f>
        <v>1</v>
      </c>
      <c r="O166" s="6">
        <f>COUNTIFS('post-audit-active-backlog-statu'!$D$2:$D$6824,M166,'post-audit-active-backlog-statu'!$G$2:$G$6824,"Fixed")</f>
        <v>0</v>
      </c>
      <c r="P166" s="6">
        <f>COUNTIFS('post-audit-active-backlog-statu'!$D$2:$D$6824,M166,'post-audit-active-backlog-statu'!$G$2:$G$6824,"ReviewedNoChange")+COUNTIFS('post-audit-active-backlog-statu'!$D$2:$D$6824,M166,'post-audit-active-backlog-statu'!$G$2:$G$6824,"SafeNoChange")+COUNTIFS('post-audit-active-backlog-statu'!$D$2:$D$6824,M166,'post-audit-active-backlog-statu'!$G$2:$G$6824,"PolicyResolvedNoChange")</f>
        <v>0</v>
      </c>
      <c r="Q166" s="6">
        <f>COUNTIFS('post-audit-active-backlog-statu'!$D$2:$D$6824,M166,'post-audit-active-backlog-statu'!$G$2:$G$6824,"BlocksOnlyThisDomain")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COUNTIF('post-audit-active-backlog-statu'!$D$2:$D$6824,M167)</f>
        <v>1</v>
      </c>
      <c r="O167" s="6">
        <f>COUNTIFS('post-audit-active-backlog-statu'!$D$2:$D$6824,M167,'post-audit-active-backlog-statu'!$G$2:$G$6824,"Fixed")</f>
        <v>0</v>
      </c>
      <c r="P167" s="6">
        <f>COUNTIFS('post-audit-active-backlog-statu'!$D$2:$D$6824,M167,'post-audit-active-backlog-statu'!$G$2:$G$6824,"ReviewedNoChange")+COUNTIFS('post-audit-active-backlog-statu'!$D$2:$D$6824,M167,'post-audit-active-backlog-statu'!$G$2:$G$6824,"SafeNoChange")+COUNTIFS('post-audit-active-backlog-statu'!$D$2:$D$6824,M167,'post-audit-active-backlog-statu'!$G$2:$G$6824,"PolicyResolvedNoChange")</f>
        <v>0</v>
      </c>
      <c r="Q167" s="6">
        <f>COUNTIFS('post-audit-active-backlog-statu'!$D$2:$D$6824,M167,'post-audit-active-backlog-statu'!$G$2:$G$6824,"BlocksOnlyThisDomain")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COUNTIF('post-audit-active-backlog-statu'!$D$2:$D$6824,M168)</f>
        <v>1</v>
      </c>
      <c r="O168" s="6">
        <f>COUNTIFS('post-audit-active-backlog-statu'!$D$2:$D$6824,M168,'post-audit-active-backlog-statu'!$G$2:$G$6824,"Fixed")</f>
        <v>0</v>
      </c>
      <c r="P168" s="6">
        <f>COUNTIFS('post-audit-active-backlog-statu'!$D$2:$D$6824,M168,'post-audit-active-backlog-statu'!$G$2:$G$6824,"ReviewedNoChange")+COUNTIFS('post-audit-active-backlog-statu'!$D$2:$D$6824,M168,'post-audit-active-backlog-statu'!$G$2:$G$6824,"SafeNoChange")+COUNTIFS('post-audit-active-backlog-statu'!$D$2:$D$6824,M168,'post-audit-active-backlog-statu'!$G$2:$G$6824,"PolicyResolvedNoChange")</f>
        <v>0</v>
      </c>
      <c r="Q168" s="6">
        <f>COUNTIFS('post-audit-active-backlog-statu'!$D$2:$D$6824,M168,'post-audit-active-backlog-statu'!$G$2:$G$6824,"BlocksOnlyThisDomain")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COUNTIF('post-audit-active-backlog-statu'!$D$2:$D$6824,M169)</f>
        <v>1</v>
      </c>
      <c r="O169" s="6">
        <f>COUNTIFS('post-audit-active-backlog-statu'!$D$2:$D$6824,M169,'post-audit-active-backlog-statu'!$G$2:$G$6824,"Fixed")</f>
        <v>0</v>
      </c>
      <c r="P169" s="6">
        <f>COUNTIFS('post-audit-active-backlog-statu'!$D$2:$D$6824,M169,'post-audit-active-backlog-statu'!$G$2:$G$6824,"ReviewedNoChange")+COUNTIFS('post-audit-active-backlog-statu'!$D$2:$D$6824,M169,'post-audit-active-backlog-statu'!$G$2:$G$6824,"SafeNoChange")+COUNTIFS('post-audit-active-backlog-statu'!$D$2:$D$6824,M169,'post-audit-active-backlog-statu'!$G$2:$G$6824,"PolicyResolvedNoChange")</f>
        <v>0</v>
      </c>
      <c r="Q169" s="6">
        <f>COUNTIFS('post-audit-active-backlog-statu'!$D$2:$D$6824,M169,'post-audit-active-backlog-statu'!$G$2:$G$6824,"BlocksOnlyThisDomain")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COUNTIF('post-audit-active-backlog-statu'!$D$2:$D$6824,M170)</f>
        <v>1</v>
      </c>
      <c r="O170" s="6">
        <f>COUNTIFS('post-audit-active-backlog-statu'!$D$2:$D$6824,M170,'post-audit-active-backlog-statu'!$G$2:$G$6824,"Fixed")</f>
        <v>0</v>
      </c>
      <c r="P170" s="6">
        <f>COUNTIFS('post-audit-active-backlog-statu'!$D$2:$D$6824,M170,'post-audit-active-backlog-statu'!$G$2:$G$6824,"ReviewedNoChange")+COUNTIFS('post-audit-active-backlog-statu'!$D$2:$D$6824,M170,'post-audit-active-backlog-statu'!$G$2:$G$6824,"SafeNoChange")+COUNTIFS('post-audit-active-backlog-statu'!$D$2:$D$6824,M170,'post-audit-active-backlog-statu'!$G$2:$G$6824,"PolicyResolvedNoChange")</f>
        <v>0</v>
      </c>
      <c r="Q170" s="6">
        <f>COUNTIFS('post-audit-active-backlog-statu'!$D$2:$D$6824,M170,'post-audit-active-backlog-statu'!$G$2:$G$6824,"BlocksOnlyThisDomain")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COUNTIF('post-audit-active-backlog-statu'!$D$2:$D$6824,M171)</f>
        <v>1</v>
      </c>
      <c r="O171" s="6">
        <f>COUNTIFS('post-audit-active-backlog-statu'!$D$2:$D$6824,M171,'post-audit-active-backlog-statu'!$G$2:$G$6824,"Fixed")</f>
        <v>0</v>
      </c>
      <c r="P171" s="6">
        <f>COUNTIFS('post-audit-active-backlog-statu'!$D$2:$D$6824,M171,'post-audit-active-backlog-statu'!$G$2:$G$6824,"ReviewedNoChange")+COUNTIFS('post-audit-active-backlog-statu'!$D$2:$D$6824,M171,'post-audit-active-backlog-statu'!$G$2:$G$6824,"SafeNoChange")+COUNTIFS('post-audit-active-backlog-statu'!$D$2:$D$6824,M171,'post-audit-active-backlog-statu'!$G$2:$G$6824,"PolicyResolvedNoChange")</f>
        <v>0</v>
      </c>
      <c r="Q171" s="6">
        <f>COUNTIFS('post-audit-active-backlog-statu'!$D$2:$D$6824,M171,'post-audit-active-backlog-statu'!$G$2:$G$6824,"BlocksOnlyThisDomain")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COUNTIF('post-audit-active-backlog-statu'!$D$2:$D$6824,M172)</f>
        <v>1</v>
      </c>
      <c r="O172" s="6">
        <f>COUNTIFS('post-audit-active-backlog-statu'!$D$2:$D$6824,M172,'post-audit-active-backlog-statu'!$G$2:$G$6824,"Fixed")</f>
        <v>0</v>
      </c>
      <c r="P172" s="6">
        <f>COUNTIFS('post-audit-active-backlog-statu'!$D$2:$D$6824,M172,'post-audit-active-backlog-statu'!$G$2:$G$6824,"ReviewedNoChange")+COUNTIFS('post-audit-active-backlog-statu'!$D$2:$D$6824,M172,'post-audit-active-backlog-statu'!$G$2:$G$6824,"SafeNoChange")+COUNTIFS('post-audit-active-backlog-statu'!$D$2:$D$6824,M172,'post-audit-active-backlog-statu'!$G$2:$G$6824,"PolicyResolvedNoChange")</f>
        <v>0</v>
      </c>
      <c r="Q172" s="6">
        <f>COUNTIFS('post-audit-active-backlog-statu'!$D$2:$D$6824,M172,'post-audit-active-backlog-statu'!$G$2:$G$6824,"BlocksOnlyThisDomain")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COUNTIF('post-audit-active-backlog-statu'!$D$2:$D$6824,M173)</f>
        <v>1</v>
      </c>
      <c r="O173" s="6">
        <f>COUNTIFS('post-audit-active-backlog-statu'!$D$2:$D$6824,M173,'post-audit-active-backlog-statu'!$G$2:$G$6824,"Fixed")</f>
        <v>0</v>
      </c>
      <c r="P173" s="6">
        <f>COUNTIFS('post-audit-active-backlog-statu'!$D$2:$D$6824,M173,'post-audit-active-backlog-statu'!$G$2:$G$6824,"ReviewedNoChange")+COUNTIFS('post-audit-active-backlog-statu'!$D$2:$D$6824,M173,'post-audit-active-backlog-statu'!$G$2:$G$6824,"SafeNoChange")+COUNTIFS('post-audit-active-backlog-statu'!$D$2:$D$6824,M173,'post-audit-active-backlog-statu'!$G$2:$G$6824,"PolicyResolvedNoChange")</f>
        <v>0</v>
      </c>
      <c r="Q173" s="6">
        <f>COUNTIFS('post-audit-active-backlog-statu'!$D$2:$D$6824,M173,'post-audit-active-backlog-statu'!$G$2:$G$6824,"BlocksOnlyThisDomain")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COUNTIF('post-audit-active-backlog-statu'!$D$2:$D$6824,M174)</f>
        <v>1</v>
      </c>
      <c r="O174" s="6">
        <f>COUNTIFS('post-audit-active-backlog-statu'!$D$2:$D$6824,M174,'post-audit-active-backlog-statu'!$G$2:$G$6824,"Fixed")</f>
        <v>0</v>
      </c>
      <c r="P174" s="6">
        <f>COUNTIFS('post-audit-active-backlog-statu'!$D$2:$D$6824,M174,'post-audit-active-backlog-statu'!$G$2:$G$6824,"ReviewedNoChange")+COUNTIFS('post-audit-active-backlog-statu'!$D$2:$D$6824,M174,'post-audit-active-backlog-statu'!$G$2:$G$6824,"SafeNoChange")+COUNTIFS('post-audit-active-backlog-statu'!$D$2:$D$6824,M174,'post-audit-active-backlog-statu'!$G$2:$G$6824,"PolicyResolvedNoChange")</f>
        <v>0</v>
      </c>
      <c r="Q174" s="6">
        <f>COUNTIFS('post-audit-active-backlog-statu'!$D$2:$D$6824,M174,'post-audit-active-backlog-statu'!$G$2:$G$6824,"BlocksOnlyThisDomain")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COUNTIF('post-audit-active-backlog-statu'!$D$2:$D$6824,M175)</f>
        <v>1</v>
      </c>
      <c r="O175" s="6">
        <f>COUNTIFS('post-audit-active-backlog-statu'!$D$2:$D$6824,M175,'post-audit-active-backlog-statu'!$G$2:$G$6824,"Fixed")</f>
        <v>1</v>
      </c>
      <c r="P175" s="6">
        <f>COUNTIFS('post-audit-active-backlog-statu'!$D$2:$D$6824,M175,'post-audit-active-backlog-statu'!$G$2:$G$6824,"ReviewedNoChange")+COUNTIFS('post-audit-active-backlog-statu'!$D$2:$D$6824,M175,'post-audit-active-backlog-statu'!$G$2:$G$6824,"SafeNoChange")+COUNTIFS('post-audit-active-backlog-statu'!$D$2:$D$6824,M175,'post-audit-active-backlog-statu'!$G$2:$G$6824,"PolicyResolvedNoChange")</f>
        <v>0</v>
      </c>
      <c r="Q175" s="6">
        <f>COUNTIFS('post-audit-active-backlog-statu'!$D$2:$D$6824,M175,'post-audit-active-backlog-statu'!$G$2:$G$6824,"BlocksOnlyThisDomain")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COUNTIF('post-audit-active-backlog-statu'!$D$2:$D$6824,M176)</f>
        <v>1</v>
      </c>
      <c r="O176" s="6">
        <f>COUNTIFS('post-audit-active-backlog-statu'!$D$2:$D$6824,M176,'post-audit-active-backlog-statu'!$G$2:$G$6824,"Fixed")</f>
        <v>0</v>
      </c>
      <c r="P176" s="6">
        <f>COUNTIFS('post-audit-active-backlog-statu'!$D$2:$D$6824,M176,'post-audit-active-backlog-statu'!$G$2:$G$6824,"ReviewedNoChange")+COUNTIFS('post-audit-active-backlog-statu'!$D$2:$D$6824,M176,'post-audit-active-backlog-statu'!$G$2:$G$6824,"SafeNoChange")+COUNTIFS('post-audit-active-backlog-statu'!$D$2:$D$6824,M176,'post-audit-active-backlog-statu'!$G$2:$G$6824,"PolicyResolvedNoChange")</f>
        <v>0</v>
      </c>
      <c r="Q176" s="6">
        <f>COUNTIFS('post-audit-active-backlog-statu'!$D$2:$D$6824,M176,'post-audit-active-backlog-statu'!$G$2:$G$6824,"BlocksOnlyThisDomain")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COUNTIF('post-audit-active-backlog-statu'!$D$2:$D$6824,M177)</f>
        <v>1</v>
      </c>
      <c r="O177" s="6">
        <f>COUNTIFS('post-audit-active-backlog-statu'!$D$2:$D$6824,M177,'post-audit-active-backlog-statu'!$G$2:$G$6824,"Fixed")</f>
        <v>0</v>
      </c>
      <c r="P177" s="6">
        <f>COUNTIFS('post-audit-active-backlog-statu'!$D$2:$D$6824,M177,'post-audit-active-backlog-statu'!$G$2:$G$6824,"ReviewedNoChange")+COUNTIFS('post-audit-active-backlog-statu'!$D$2:$D$6824,M177,'post-audit-active-backlog-statu'!$G$2:$G$6824,"SafeNoChange")+COUNTIFS('post-audit-active-backlog-statu'!$D$2:$D$6824,M177,'post-audit-active-backlog-statu'!$G$2:$G$6824,"PolicyResolvedNoChange")</f>
        <v>0</v>
      </c>
      <c r="Q177" s="6">
        <f>COUNTIFS('post-audit-active-backlog-statu'!$D$2:$D$6824,M177,'post-audit-active-backlog-statu'!$G$2:$G$6824,"BlocksOnlyThisDomain")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COUNTIF('post-audit-active-backlog-statu'!$D$2:$D$6824,M178)</f>
        <v>1</v>
      </c>
      <c r="O178" s="6">
        <f>COUNTIFS('post-audit-active-backlog-statu'!$D$2:$D$6824,M178,'post-audit-active-backlog-statu'!$G$2:$G$6824,"Fixed")</f>
        <v>0</v>
      </c>
      <c r="P178" s="6">
        <f>COUNTIFS('post-audit-active-backlog-statu'!$D$2:$D$6824,M178,'post-audit-active-backlog-statu'!$G$2:$G$6824,"ReviewedNoChange")+COUNTIFS('post-audit-active-backlog-statu'!$D$2:$D$6824,M178,'post-audit-active-backlog-statu'!$G$2:$G$6824,"SafeNoChange")+COUNTIFS('post-audit-active-backlog-statu'!$D$2:$D$6824,M178,'post-audit-active-backlog-statu'!$G$2:$G$6824,"PolicyResolvedNoChange")</f>
        <v>1</v>
      </c>
      <c r="Q178" s="6">
        <f>COUNTIFS('post-audit-active-backlog-statu'!$D$2:$D$6824,M178,'post-audit-active-backlog-statu'!$G$2:$G$6824,"BlocksOnlyThisDomain")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COUNTIF('post-audit-active-backlog-statu'!$D$2:$D$6824,M179)</f>
        <v>1</v>
      </c>
      <c r="O179" s="6">
        <f>COUNTIFS('post-audit-active-backlog-statu'!$D$2:$D$6824,M179,'post-audit-active-backlog-statu'!$G$2:$G$6824,"Fixed")</f>
        <v>0</v>
      </c>
      <c r="P179" s="6">
        <f>COUNTIFS('post-audit-active-backlog-statu'!$D$2:$D$6824,M179,'post-audit-active-backlog-statu'!$G$2:$G$6824,"ReviewedNoChange")+COUNTIFS('post-audit-active-backlog-statu'!$D$2:$D$6824,M179,'post-audit-active-backlog-statu'!$G$2:$G$6824,"SafeNoChange")+COUNTIFS('post-audit-active-backlog-statu'!$D$2:$D$6824,M179,'post-audit-active-backlog-statu'!$G$2:$G$6824,"PolicyResolvedNoChange")</f>
        <v>0</v>
      </c>
      <c r="Q179" s="6">
        <f>COUNTIFS('post-audit-active-backlog-statu'!$D$2:$D$6824,M179,'post-audit-active-backlog-statu'!$G$2:$G$6824,"BlocksOnlyThisDomain")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COUNTIF('post-audit-active-backlog-statu'!$D$2:$D$6824,M180)</f>
        <v>1</v>
      </c>
      <c r="O180" s="6">
        <f>COUNTIFS('post-audit-active-backlog-statu'!$D$2:$D$6824,M180,'post-audit-active-backlog-statu'!$G$2:$G$6824,"Fixed")</f>
        <v>0</v>
      </c>
      <c r="P180" s="6">
        <f>COUNTIFS('post-audit-active-backlog-statu'!$D$2:$D$6824,M180,'post-audit-active-backlog-statu'!$G$2:$G$6824,"ReviewedNoChange")+COUNTIFS('post-audit-active-backlog-statu'!$D$2:$D$6824,M180,'post-audit-active-backlog-statu'!$G$2:$G$6824,"SafeNoChange")+COUNTIFS('post-audit-active-backlog-statu'!$D$2:$D$6824,M180,'post-audit-active-backlog-statu'!$G$2:$G$6824,"PolicyResolvedNoChange")</f>
        <v>1</v>
      </c>
      <c r="Q180" s="6">
        <f>COUNTIFS('post-audit-active-backlog-statu'!$D$2:$D$6824,M180,'post-audit-active-backlog-statu'!$G$2:$G$6824,"BlocksOnlyThisDomain")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COUNTIF('post-audit-active-backlog-statu'!$D$2:$D$6824,M181)</f>
        <v>1</v>
      </c>
      <c r="O181" s="6">
        <f>COUNTIFS('post-audit-active-backlog-statu'!$D$2:$D$6824,M181,'post-audit-active-backlog-statu'!$G$2:$G$6824,"Fixed")</f>
        <v>0</v>
      </c>
      <c r="P181" s="6">
        <f>COUNTIFS('post-audit-active-backlog-statu'!$D$2:$D$6824,M181,'post-audit-active-backlog-statu'!$G$2:$G$6824,"ReviewedNoChange")+COUNTIFS('post-audit-active-backlog-statu'!$D$2:$D$6824,M181,'post-audit-active-backlog-statu'!$G$2:$G$6824,"SafeNoChange")+COUNTIFS('post-audit-active-backlog-statu'!$D$2:$D$6824,M181,'post-audit-active-backlog-statu'!$G$2:$G$6824,"PolicyResolvedNoChange")</f>
        <v>1</v>
      </c>
      <c r="Q181" s="6">
        <f>COUNTIFS('post-audit-active-backlog-statu'!$D$2:$D$6824,M181,'post-audit-active-backlog-statu'!$G$2:$G$6824,"BlocksOnlyThisDomain")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COUNTIF('post-audit-active-backlog-statu'!$D$2:$D$6824,M182)</f>
        <v>1</v>
      </c>
      <c r="O182" s="6">
        <f>COUNTIFS('post-audit-active-backlog-statu'!$D$2:$D$6824,M182,'post-audit-active-backlog-statu'!$G$2:$G$6824,"Fixed")</f>
        <v>0</v>
      </c>
      <c r="P182" s="6">
        <f>COUNTIFS('post-audit-active-backlog-statu'!$D$2:$D$6824,M182,'post-audit-active-backlog-statu'!$G$2:$G$6824,"ReviewedNoChange")+COUNTIFS('post-audit-active-backlog-statu'!$D$2:$D$6824,M182,'post-audit-active-backlog-statu'!$G$2:$G$6824,"SafeNoChange")+COUNTIFS('post-audit-active-backlog-statu'!$D$2:$D$6824,M182,'post-audit-active-backlog-statu'!$G$2:$G$6824,"PolicyResolvedNoChange")</f>
        <v>1</v>
      </c>
      <c r="Q182" s="6">
        <f>COUNTIFS('post-audit-active-backlog-statu'!$D$2:$D$6824,M182,'post-audit-active-backlog-statu'!$G$2:$G$6824,"BlocksOnlyThisDomain")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COUNTIF('post-audit-active-backlog-statu'!$D$2:$D$6824,M183)</f>
        <v>1</v>
      </c>
      <c r="O183" s="6">
        <f>COUNTIFS('post-audit-active-backlog-statu'!$D$2:$D$6824,M183,'post-audit-active-backlog-statu'!$G$2:$G$6824,"Fixed")</f>
        <v>0</v>
      </c>
      <c r="P183" s="6">
        <f>COUNTIFS('post-audit-active-backlog-statu'!$D$2:$D$6824,M183,'post-audit-active-backlog-statu'!$G$2:$G$6824,"ReviewedNoChange")+COUNTIFS('post-audit-active-backlog-statu'!$D$2:$D$6824,M183,'post-audit-active-backlog-statu'!$G$2:$G$6824,"SafeNoChange")+COUNTIFS('post-audit-active-backlog-statu'!$D$2:$D$6824,M183,'post-audit-active-backlog-statu'!$G$2:$G$6824,"PolicyResolvedNoChange")</f>
        <v>1</v>
      </c>
      <c r="Q183" s="6">
        <f>COUNTIFS('post-audit-active-backlog-statu'!$D$2:$D$6824,M183,'post-audit-active-backlog-statu'!$G$2:$G$6824,"BlocksOnlyThisDomain")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COUNTIF('post-audit-active-backlog-statu'!$D$2:$D$6824,M184)</f>
        <v>1</v>
      </c>
      <c r="O184" s="6">
        <f>COUNTIFS('post-audit-active-backlog-statu'!$D$2:$D$6824,M184,'post-audit-active-backlog-statu'!$G$2:$G$6824,"Fixed")</f>
        <v>0</v>
      </c>
      <c r="P184" s="6">
        <f>COUNTIFS('post-audit-active-backlog-statu'!$D$2:$D$6824,M184,'post-audit-active-backlog-statu'!$G$2:$G$6824,"ReviewedNoChange")+COUNTIFS('post-audit-active-backlog-statu'!$D$2:$D$6824,M184,'post-audit-active-backlog-statu'!$G$2:$G$6824,"SafeNoChange")+COUNTIFS('post-audit-active-backlog-statu'!$D$2:$D$6824,M184,'post-audit-active-backlog-statu'!$G$2:$G$6824,"PolicyResolvedNoChange")</f>
        <v>1</v>
      </c>
      <c r="Q184" s="6">
        <f>COUNTIFS('post-audit-active-backlog-statu'!$D$2:$D$6824,M184,'post-audit-active-backlog-statu'!$G$2:$G$6824,"BlocksOnlyThisDomain")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COUNTIF('post-audit-active-backlog-statu'!$D$2:$D$6824,M185)</f>
        <v>1</v>
      </c>
      <c r="O185" s="6">
        <f>COUNTIFS('post-audit-active-backlog-statu'!$D$2:$D$6824,M185,'post-audit-active-backlog-statu'!$G$2:$G$6824,"Fixed")</f>
        <v>0</v>
      </c>
      <c r="P185" s="6">
        <f>COUNTIFS('post-audit-active-backlog-statu'!$D$2:$D$6824,M185,'post-audit-active-backlog-statu'!$G$2:$G$6824,"ReviewedNoChange")+COUNTIFS('post-audit-active-backlog-statu'!$D$2:$D$6824,M185,'post-audit-active-backlog-statu'!$G$2:$G$6824,"SafeNoChange")+COUNTIFS('post-audit-active-backlog-statu'!$D$2:$D$6824,M185,'post-audit-active-backlog-statu'!$G$2:$G$6824,"PolicyResolvedNoChange")</f>
        <v>1</v>
      </c>
      <c r="Q185" s="6">
        <f>COUNTIFS('post-audit-active-backlog-statu'!$D$2:$D$6824,M185,'post-audit-active-backlog-statu'!$G$2:$G$6824,"BlocksOnlyThisDomain")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COUNTIF('post-audit-active-backlog-statu'!$D$2:$D$6824,M186)</f>
        <v>1</v>
      </c>
      <c r="O186" s="6">
        <f>COUNTIFS('post-audit-active-backlog-statu'!$D$2:$D$6824,M186,'post-audit-active-backlog-statu'!$G$2:$G$6824,"Fixed")</f>
        <v>0</v>
      </c>
      <c r="P186" s="6">
        <f>COUNTIFS('post-audit-active-backlog-statu'!$D$2:$D$6824,M186,'post-audit-active-backlog-statu'!$G$2:$G$6824,"ReviewedNoChange")+COUNTIFS('post-audit-active-backlog-statu'!$D$2:$D$6824,M186,'post-audit-active-backlog-statu'!$G$2:$G$6824,"SafeNoChange")+COUNTIFS('post-audit-active-backlog-statu'!$D$2:$D$6824,M186,'post-audit-active-backlog-statu'!$G$2:$G$6824,"PolicyResolvedNoChange")</f>
        <v>0</v>
      </c>
      <c r="Q186" s="6">
        <f>COUNTIFS('post-audit-active-backlog-statu'!$D$2:$D$6824,M186,'post-audit-active-backlog-statu'!$G$2:$G$6824,"BlocksOnlyThisDomain")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COUNTIF('post-audit-active-backlog-statu'!$D$2:$D$6824,M187)</f>
        <v>1</v>
      </c>
      <c r="O187" s="6">
        <f>COUNTIFS('post-audit-active-backlog-statu'!$D$2:$D$6824,M187,'post-audit-active-backlog-statu'!$G$2:$G$6824,"Fixed")</f>
        <v>0</v>
      </c>
      <c r="P187" s="6">
        <f>COUNTIFS('post-audit-active-backlog-statu'!$D$2:$D$6824,M187,'post-audit-active-backlog-statu'!$G$2:$G$6824,"ReviewedNoChange")+COUNTIFS('post-audit-active-backlog-statu'!$D$2:$D$6824,M187,'post-audit-active-backlog-statu'!$G$2:$G$6824,"SafeNoChange")+COUNTIFS('post-audit-active-backlog-statu'!$D$2:$D$6824,M187,'post-audit-active-backlog-statu'!$G$2:$G$6824,"PolicyResolvedNoChange")</f>
        <v>0</v>
      </c>
      <c r="Q187" s="6">
        <f>COUNTIFS('post-audit-active-backlog-statu'!$D$2:$D$6824,M187,'post-audit-active-backlog-statu'!$G$2:$G$6824,"BlocksOnlyThisDomain")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COUNTIF('post-audit-active-backlog-statu'!$D$2:$D$6824,M188)</f>
        <v>1</v>
      </c>
      <c r="O188" s="6">
        <f>COUNTIFS('post-audit-active-backlog-statu'!$D$2:$D$6824,M188,'post-audit-active-backlog-statu'!$G$2:$G$6824,"Fixed")</f>
        <v>0</v>
      </c>
      <c r="P188" s="6">
        <f>COUNTIFS('post-audit-active-backlog-statu'!$D$2:$D$6824,M188,'post-audit-active-backlog-statu'!$G$2:$G$6824,"ReviewedNoChange")+COUNTIFS('post-audit-active-backlog-statu'!$D$2:$D$6824,M188,'post-audit-active-backlog-statu'!$G$2:$G$6824,"SafeNoChange")+COUNTIFS('post-audit-active-backlog-statu'!$D$2:$D$6824,M188,'post-audit-active-backlog-statu'!$G$2:$G$6824,"PolicyResolvedNoChange")</f>
        <v>0</v>
      </c>
      <c r="Q188" s="6">
        <f>COUNTIFS('post-audit-active-backlog-statu'!$D$2:$D$6824,M188,'post-audit-active-backlog-statu'!$G$2:$G$6824,"BlocksOnlyThisDomain")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COUNTIF('post-audit-active-backlog-statu'!$D$2:$D$6824,M189)</f>
        <v>1</v>
      </c>
      <c r="O189" s="6">
        <f>COUNTIFS('post-audit-active-backlog-statu'!$D$2:$D$6824,M189,'post-audit-active-backlog-statu'!$G$2:$G$6824,"Fixed")</f>
        <v>0</v>
      </c>
      <c r="P189" s="6">
        <f>COUNTIFS('post-audit-active-backlog-statu'!$D$2:$D$6824,M189,'post-audit-active-backlog-statu'!$G$2:$G$6824,"ReviewedNoChange")+COUNTIFS('post-audit-active-backlog-statu'!$D$2:$D$6824,M189,'post-audit-active-backlog-statu'!$G$2:$G$6824,"SafeNoChange")+COUNTIFS('post-audit-active-backlog-statu'!$D$2:$D$6824,M189,'post-audit-active-backlog-statu'!$G$2:$G$6824,"PolicyResolvedNoChange")</f>
        <v>0</v>
      </c>
      <c r="Q189" s="6">
        <f>COUNTIFS('post-audit-active-backlog-statu'!$D$2:$D$6824,M189,'post-audit-active-backlog-statu'!$G$2:$G$6824,"BlocksOnlyThisDomain")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COUNTIF('post-audit-active-backlog-statu'!$D$2:$D$6824,M190)</f>
        <v>1</v>
      </c>
      <c r="O190" s="6">
        <f>COUNTIFS('post-audit-active-backlog-statu'!$D$2:$D$6824,M190,'post-audit-active-backlog-statu'!$G$2:$G$6824,"Fixed")</f>
        <v>0</v>
      </c>
      <c r="P190" s="6">
        <f>COUNTIFS('post-audit-active-backlog-statu'!$D$2:$D$6824,M190,'post-audit-active-backlog-statu'!$G$2:$G$6824,"ReviewedNoChange")+COUNTIFS('post-audit-active-backlog-statu'!$D$2:$D$6824,M190,'post-audit-active-backlog-statu'!$G$2:$G$6824,"SafeNoChange")+COUNTIFS('post-audit-active-backlog-statu'!$D$2:$D$6824,M190,'post-audit-active-backlog-statu'!$G$2:$G$6824,"PolicyResolvedNoChange")</f>
        <v>0</v>
      </c>
      <c r="Q190" s="6">
        <f>COUNTIFS('post-audit-active-backlog-statu'!$D$2:$D$6824,M190,'post-audit-active-backlog-statu'!$G$2:$G$6824,"BlocksOnlyThisDomain")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COUNTIF('post-audit-active-backlog-statu'!$D$2:$D$6824,M191)</f>
        <v>1</v>
      </c>
      <c r="O191" s="6">
        <f>COUNTIFS('post-audit-active-backlog-statu'!$D$2:$D$6824,M191,'post-audit-active-backlog-statu'!$G$2:$G$6824,"Fixed")</f>
        <v>0</v>
      </c>
      <c r="P191" s="6">
        <f>COUNTIFS('post-audit-active-backlog-statu'!$D$2:$D$6824,M191,'post-audit-active-backlog-statu'!$G$2:$G$6824,"ReviewedNoChange")+COUNTIFS('post-audit-active-backlog-statu'!$D$2:$D$6824,M191,'post-audit-active-backlog-statu'!$G$2:$G$6824,"SafeNoChange")+COUNTIFS('post-audit-active-backlog-statu'!$D$2:$D$6824,M191,'post-audit-active-backlog-statu'!$G$2:$G$6824,"PolicyResolvedNoChange")</f>
        <v>0</v>
      </c>
      <c r="Q191" s="6">
        <f>COUNTIFS('post-audit-active-backlog-statu'!$D$2:$D$6824,M191,'post-audit-active-backlog-statu'!$G$2:$G$6824,"BlocksOnlyThisDomain")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COUNTIF('post-audit-active-backlog-statu'!$D$2:$D$6824,M192)</f>
        <v>1</v>
      </c>
      <c r="O192" s="6">
        <f>COUNTIFS('post-audit-active-backlog-statu'!$D$2:$D$6824,M192,'post-audit-active-backlog-statu'!$G$2:$G$6824,"Fixed")</f>
        <v>0</v>
      </c>
      <c r="P192" s="6">
        <f>COUNTIFS('post-audit-active-backlog-statu'!$D$2:$D$6824,M192,'post-audit-active-backlog-statu'!$G$2:$G$6824,"ReviewedNoChange")+COUNTIFS('post-audit-active-backlog-statu'!$D$2:$D$6824,M192,'post-audit-active-backlog-statu'!$G$2:$G$6824,"SafeNoChange")+COUNTIFS('post-audit-active-backlog-statu'!$D$2:$D$6824,M192,'post-audit-active-backlog-statu'!$G$2:$G$6824,"PolicyResolvedNoChange")</f>
        <v>0</v>
      </c>
      <c r="Q192" s="6">
        <f>COUNTIFS('post-audit-active-backlog-statu'!$D$2:$D$6824,M192,'post-audit-active-backlog-statu'!$G$2:$G$6824,"BlocksOnlyThisDomain")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COUNTIF('post-audit-active-backlog-statu'!$D$2:$D$6824,M193)</f>
        <v>1</v>
      </c>
      <c r="O193" s="6">
        <f>COUNTIFS('post-audit-active-backlog-statu'!$D$2:$D$6824,M193,'post-audit-active-backlog-statu'!$G$2:$G$6824,"Fixed")</f>
        <v>0</v>
      </c>
      <c r="P193" s="6">
        <f>COUNTIFS('post-audit-active-backlog-statu'!$D$2:$D$6824,M193,'post-audit-active-backlog-statu'!$G$2:$G$6824,"ReviewedNoChange")+COUNTIFS('post-audit-active-backlog-statu'!$D$2:$D$6824,M193,'post-audit-active-backlog-statu'!$G$2:$G$6824,"SafeNoChange")+COUNTIFS('post-audit-active-backlog-statu'!$D$2:$D$6824,M193,'post-audit-active-backlog-statu'!$G$2:$G$6824,"PolicyResolvedNoChange")</f>
        <v>0</v>
      </c>
      <c r="Q193" s="6">
        <f>COUNTIFS('post-audit-active-backlog-statu'!$D$2:$D$6824,M193,'post-audit-active-backlog-statu'!$G$2:$G$6824,"BlocksOnlyThisDomain")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COUNTIF('post-audit-active-backlog-statu'!$D$2:$D$6824,M194)</f>
        <v>1</v>
      </c>
      <c r="O194" s="6">
        <f>COUNTIFS('post-audit-active-backlog-statu'!$D$2:$D$6824,M194,'post-audit-active-backlog-statu'!$G$2:$G$6824,"Fixed")</f>
        <v>0</v>
      </c>
      <c r="P194" s="6">
        <f>COUNTIFS('post-audit-active-backlog-statu'!$D$2:$D$6824,M194,'post-audit-active-backlog-statu'!$G$2:$G$6824,"ReviewedNoChange")+COUNTIFS('post-audit-active-backlog-statu'!$D$2:$D$6824,M194,'post-audit-active-backlog-statu'!$G$2:$G$6824,"SafeNoChange")+COUNTIFS('post-audit-active-backlog-statu'!$D$2:$D$6824,M194,'post-audit-active-backlog-statu'!$G$2:$G$6824,"PolicyResolvedNoChange")</f>
        <v>0</v>
      </c>
      <c r="Q194" s="6">
        <f>COUNTIFS('post-audit-active-backlog-statu'!$D$2:$D$6824,M194,'post-audit-active-backlog-statu'!$G$2:$G$6824,"BlocksOnlyThisDomain")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COUNTIF('post-audit-active-backlog-statu'!$D$2:$D$6824,M195)</f>
        <v>1</v>
      </c>
      <c r="O195" s="6">
        <f>COUNTIFS('post-audit-active-backlog-statu'!$D$2:$D$6824,M195,'post-audit-active-backlog-statu'!$G$2:$G$6824,"Fixed")</f>
        <v>0</v>
      </c>
      <c r="P195" s="6">
        <f>COUNTIFS('post-audit-active-backlog-statu'!$D$2:$D$6824,M195,'post-audit-active-backlog-statu'!$G$2:$G$6824,"ReviewedNoChange")+COUNTIFS('post-audit-active-backlog-statu'!$D$2:$D$6824,M195,'post-audit-active-backlog-statu'!$G$2:$G$6824,"SafeNoChange")+COUNTIFS('post-audit-active-backlog-statu'!$D$2:$D$6824,M195,'post-audit-active-backlog-statu'!$G$2:$G$6824,"PolicyResolvedNoChange")</f>
        <v>0</v>
      </c>
      <c r="Q195" s="6">
        <f>COUNTIFS('post-audit-active-backlog-statu'!$D$2:$D$6824,M195,'post-audit-active-backlog-statu'!$G$2:$G$6824,"BlocksOnlyThisDomain")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COUNTIF('post-audit-active-backlog-statu'!$D$2:$D$6824,M196)</f>
        <v>1</v>
      </c>
      <c r="O196" s="6">
        <f>COUNTIFS('post-audit-active-backlog-statu'!$D$2:$D$6824,M196,'post-audit-active-backlog-statu'!$G$2:$G$6824,"Fixed")</f>
        <v>0</v>
      </c>
      <c r="P196" s="6">
        <f>COUNTIFS('post-audit-active-backlog-statu'!$D$2:$D$6824,M196,'post-audit-active-backlog-statu'!$G$2:$G$6824,"ReviewedNoChange")+COUNTIFS('post-audit-active-backlog-statu'!$D$2:$D$6824,M196,'post-audit-active-backlog-statu'!$G$2:$G$6824,"SafeNoChange")+COUNTIFS('post-audit-active-backlog-statu'!$D$2:$D$6824,M196,'post-audit-active-backlog-statu'!$G$2:$G$6824,"PolicyResolvedNoChange")</f>
        <v>0</v>
      </c>
      <c r="Q196" s="6">
        <f>COUNTIFS('post-audit-active-backlog-statu'!$D$2:$D$6824,M196,'post-audit-active-backlog-statu'!$G$2:$G$6824,"BlocksOnlyThisDomain")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COUNTIF('post-audit-active-backlog-statu'!$D$2:$D$6824,M197)</f>
        <v>1</v>
      </c>
      <c r="O197" s="6">
        <f>COUNTIFS('post-audit-active-backlog-statu'!$D$2:$D$6824,M197,'post-audit-active-backlog-statu'!$G$2:$G$6824,"Fixed")</f>
        <v>0</v>
      </c>
      <c r="P197" s="6">
        <f>COUNTIFS('post-audit-active-backlog-statu'!$D$2:$D$6824,M197,'post-audit-active-backlog-statu'!$G$2:$G$6824,"ReviewedNoChange")+COUNTIFS('post-audit-active-backlog-statu'!$D$2:$D$6824,M197,'post-audit-active-backlog-statu'!$G$2:$G$6824,"SafeNoChange")+COUNTIFS('post-audit-active-backlog-statu'!$D$2:$D$6824,M197,'post-audit-active-backlog-statu'!$G$2:$G$6824,"PolicyResolvedNoChange")</f>
        <v>0</v>
      </c>
      <c r="Q197" s="6">
        <f>COUNTIFS('post-audit-active-backlog-statu'!$D$2:$D$6824,M197,'post-audit-active-backlog-statu'!$G$2:$G$6824,"BlocksOnlyThisDomain")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COUNTIF('post-audit-active-backlog-statu'!$D$2:$D$6824,M198)</f>
        <v>1</v>
      </c>
      <c r="O198" s="6">
        <f>COUNTIFS('post-audit-active-backlog-statu'!$D$2:$D$6824,M198,'post-audit-active-backlog-statu'!$G$2:$G$6824,"Fixed")</f>
        <v>0</v>
      </c>
      <c r="P198" s="6">
        <f>COUNTIFS('post-audit-active-backlog-statu'!$D$2:$D$6824,M198,'post-audit-active-backlog-statu'!$G$2:$G$6824,"ReviewedNoChange")+COUNTIFS('post-audit-active-backlog-statu'!$D$2:$D$6824,M198,'post-audit-active-backlog-statu'!$G$2:$G$6824,"SafeNoChange")+COUNTIFS('post-audit-active-backlog-statu'!$D$2:$D$6824,M198,'post-audit-active-backlog-statu'!$G$2:$G$6824,"PolicyResolvedNoChange")</f>
        <v>0</v>
      </c>
      <c r="Q198" s="6">
        <f>COUNTIFS('post-audit-active-backlog-statu'!$D$2:$D$6824,M198,'post-audit-active-backlog-statu'!$G$2:$G$6824,"BlocksOnlyThisDomain")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COUNTIF('post-audit-active-backlog-statu'!$D$2:$D$6824,M199)</f>
        <v>1</v>
      </c>
      <c r="O199" s="6">
        <f>COUNTIFS('post-audit-active-backlog-statu'!$D$2:$D$6824,M199,'post-audit-active-backlog-statu'!$G$2:$G$6824,"Fixed")</f>
        <v>0</v>
      </c>
      <c r="P199" s="6">
        <f>COUNTIFS('post-audit-active-backlog-statu'!$D$2:$D$6824,M199,'post-audit-active-backlog-statu'!$G$2:$G$6824,"ReviewedNoChange")+COUNTIFS('post-audit-active-backlog-statu'!$D$2:$D$6824,M199,'post-audit-active-backlog-statu'!$G$2:$G$6824,"SafeNoChange")+COUNTIFS('post-audit-active-backlog-statu'!$D$2:$D$6824,M199,'post-audit-active-backlog-statu'!$G$2:$G$6824,"PolicyResolvedNoChange")</f>
        <v>0</v>
      </c>
      <c r="Q199" s="6">
        <f>COUNTIFS('post-audit-active-backlog-statu'!$D$2:$D$6824,M199,'post-audit-active-backlog-statu'!$G$2:$G$6824,"BlocksOnlyThisDomain")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COUNTIF('post-audit-active-backlog-statu'!$D$2:$D$6824,M200)</f>
        <v>1</v>
      </c>
      <c r="O200" s="6">
        <f>COUNTIFS('post-audit-active-backlog-statu'!$D$2:$D$6824,M200,'post-audit-active-backlog-statu'!$G$2:$G$6824,"Fixed")</f>
        <v>0</v>
      </c>
      <c r="P200" s="6">
        <f>COUNTIFS('post-audit-active-backlog-statu'!$D$2:$D$6824,M200,'post-audit-active-backlog-statu'!$G$2:$G$6824,"ReviewedNoChange")+COUNTIFS('post-audit-active-backlog-statu'!$D$2:$D$6824,M200,'post-audit-active-backlog-statu'!$G$2:$G$6824,"SafeNoChange")+COUNTIFS('post-audit-active-backlog-statu'!$D$2:$D$6824,M200,'post-audit-active-backlog-statu'!$G$2:$G$6824,"PolicyResolvedNoChange")</f>
        <v>0</v>
      </c>
      <c r="Q200" s="6">
        <f>COUNTIFS('post-audit-active-backlog-statu'!$D$2:$D$6824,M200,'post-audit-active-backlog-statu'!$G$2:$G$6824,"BlocksOnlyThisDomain")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COUNTIF('post-audit-active-backlog-statu'!$D$2:$D$6824,M201)</f>
        <v>1</v>
      </c>
      <c r="O201" s="6">
        <f>COUNTIFS('post-audit-active-backlog-statu'!$D$2:$D$6824,M201,'post-audit-active-backlog-statu'!$G$2:$G$6824,"Fixed")</f>
        <v>0</v>
      </c>
      <c r="P201" s="6">
        <f>COUNTIFS('post-audit-active-backlog-statu'!$D$2:$D$6824,M201,'post-audit-active-backlog-statu'!$G$2:$G$6824,"ReviewedNoChange")+COUNTIFS('post-audit-active-backlog-statu'!$D$2:$D$6824,M201,'post-audit-active-backlog-statu'!$G$2:$G$6824,"SafeNoChange")+COUNTIFS('post-audit-active-backlog-statu'!$D$2:$D$6824,M201,'post-audit-active-backlog-statu'!$G$2:$G$6824,"PolicyResolvedNoChange")</f>
        <v>0</v>
      </c>
      <c r="Q201" s="6">
        <f>COUNTIFS('post-audit-active-backlog-statu'!$D$2:$D$6824,M201,'post-audit-active-backlog-statu'!$G$2:$G$6824,"BlocksOnlyThisDomain")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COUNTIF('post-audit-active-backlog-statu'!$D$2:$D$6824,M202)</f>
        <v>1</v>
      </c>
      <c r="O202" s="6">
        <f>COUNTIFS('post-audit-active-backlog-statu'!$D$2:$D$6824,M202,'post-audit-active-backlog-statu'!$G$2:$G$6824,"Fixed")</f>
        <v>0</v>
      </c>
      <c r="P202" s="6">
        <f>COUNTIFS('post-audit-active-backlog-statu'!$D$2:$D$6824,M202,'post-audit-active-backlog-statu'!$G$2:$G$6824,"ReviewedNoChange")+COUNTIFS('post-audit-active-backlog-statu'!$D$2:$D$6824,M202,'post-audit-active-backlog-statu'!$G$2:$G$6824,"SafeNoChange")+COUNTIFS('post-audit-active-backlog-statu'!$D$2:$D$6824,M202,'post-audit-active-backlog-statu'!$G$2:$G$6824,"PolicyResolvedNoChange")</f>
        <v>0</v>
      </c>
      <c r="Q202" s="6">
        <f>COUNTIFS('post-audit-active-backlog-statu'!$D$2:$D$6824,M202,'post-audit-active-backlog-statu'!$G$2:$G$6824,"BlocksOnlyThisDomain")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COUNTIF('post-audit-active-backlog-statu'!$D$2:$D$6824,M203)</f>
        <v>1</v>
      </c>
      <c r="O203" s="6">
        <f>COUNTIFS('post-audit-active-backlog-statu'!$D$2:$D$6824,M203,'post-audit-active-backlog-statu'!$G$2:$G$6824,"Fixed")</f>
        <v>0</v>
      </c>
      <c r="P203" s="6">
        <f>COUNTIFS('post-audit-active-backlog-statu'!$D$2:$D$6824,M203,'post-audit-active-backlog-statu'!$G$2:$G$6824,"ReviewedNoChange")+COUNTIFS('post-audit-active-backlog-statu'!$D$2:$D$6824,M203,'post-audit-active-backlog-statu'!$G$2:$G$6824,"SafeNoChange")+COUNTIFS('post-audit-active-backlog-statu'!$D$2:$D$6824,M203,'post-audit-active-backlog-statu'!$G$2:$G$6824,"PolicyResolvedNoChange")</f>
        <v>0</v>
      </c>
      <c r="Q203" s="6">
        <f>COUNTIFS('post-audit-active-backlog-statu'!$D$2:$D$6824,M203,'post-audit-active-backlog-statu'!$G$2:$G$6824,"BlocksOnlyThisDomain")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COUNTIF('post-audit-active-backlog-statu'!$D$2:$D$6824,M204)</f>
        <v>1</v>
      </c>
      <c r="O204" s="6">
        <f>COUNTIFS('post-audit-active-backlog-statu'!$D$2:$D$6824,M204,'post-audit-active-backlog-statu'!$G$2:$G$6824,"Fixed")</f>
        <v>0</v>
      </c>
      <c r="P204" s="6">
        <f>COUNTIFS('post-audit-active-backlog-statu'!$D$2:$D$6824,M204,'post-audit-active-backlog-statu'!$G$2:$G$6824,"ReviewedNoChange")+COUNTIFS('post-audit-active-backlog-statu'!$D$2:$D$6824,M204,'post-audit-active-backlog-statu'!$G$2:$G$6824,"SafeNoChange")+COUNTIFS('post-audit-active-backlog-statu'!$D$2:$D$6824,M204,'post-audit-active-backlog-statu'!$G$2:$G$6824,"PolicyResolvedNoChange")</f>
        <v>0</v>
      </c>
      <c r="Q204" s="6">
        <f>COUNTIFS('post-audit-active-backlog-statu'!$D$2:$D$6824,M204,'post-audit-active-backlog-statu'!$G$2:$G$6824,"BlocksOnlyThisDomain")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COUNTIF('post-audit-active-backlog-statu'!$D$2:$D$6824,M205)</f>
        <v>1</v>
      </c>
      <c r="O205" s="6">
        <f>COUNTIFS('post-audit-active-backlog-statu'!$D$2:$D$6824,M205,'post-audit-active-backlog-statu'!$G$2:$G$6824,"Fixed")</f>
        <v>0</v>
      </c>
      <c r="P205" s="6">
        <f>COUNTIFS('post-audit-active-backlog-statu'!$D$2:$D$6824,M205,'post-audit-active-backlog-statu'!$G$2:$G$6824,"ReviewedNoChange")+COUNTIFS('post-audit-active-backlog-statu'!$D$2:$D$6824,M205,'post-audit-active-backlog-statu'!$G$2:$G$6824,"SafeNoChange")+COUNTIFS('post-audit-active-backlog-statu'!$D$2:$D$6824,M205,'post-audit-active-backlog-statu'!$G$2:$G$6824,"PolicyResolvedNoChange")</f>
        <v>0</v>
      </c>
      <c r="Q205" s="6">
        <f>COUNTIFS('post-audit-active-backlog-statu'!$D$2:$D$6824,M205,'post-audit-active-backlog-statu'!$G$2:$G$6824,"BlocksOnlyThisDomain")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COUNTIF('post-audit-active-backlog-statu'!$D$2:$D$6824,M206)</f>
        <v>1</v>
      </c>
      <c r="O206" s="6">
        <f>COUNTIFS('post-audit-active-backlog-statu'!$D$2:$D$6824,M206,'post-audit-active-backlog-statu'!$G$2:$G$6824,"Fixed")</f>
        <v>0</v>
      </c>
      <c r="P206" s="6">
        <f>COUNTIFS('post-audit-active-backlog-statu'!$D$2:$D$6824,M206,'post-audit-active-backlog-statu'!$G$2:$G$6824,"ReviewedNoChange")+COUNTIFS('post-audit-active-backlog-statu'!$D$2:$D$6824,M206,'post-audit-active-backlog-statu'!$G$2:$G$6824,"SafeNoChange")+COUNTIFS('post-audit-active-backlog-statu'!$D$2:$D$6824,M206,'post-audit-active-backlog-statu'!$G$2:$G$6824,"PolicyResolvedNoChange")</f>
        <v>0</v>
      </c>
      <c r="Q206" s="6">
        <f>COUNTIFS('post-audit-active-backlog-statu'!$D$2:$D$6824,M206,'post-audit-active-backlog-statu'!$G$2:$G$6824,"BlocksOnlyThisDomain")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COUNTIF('post-audit-active-backlog-statu'!$D$2:$D$6824,M207)</f>
        <v>1</v>
      </c>
      <c r="O207" s="6">
        <f>COUNTIFS('post-audit-active-backlog-statu'!$D$2:$D$6824,M207,'post-audit-active-backlog-statu'!$G$2:$G$6824,"Fixed")</f>
        <v>0</v>
      </c>
      <c r="P207" s="6">
        <f>COUNTIFS('post-audit-active-backlog-statu'!$D$2:$D$6824,M207,'post-audit-active-backlog-statu'!$G$2:$G$6824,"ReviewedNoChange")+COUNTIFS('post-audit-active-backlog-statu'!$D$2:$D$6824,M207,'post-audit-active-backlog-statu'!$G$2:$G$6824,"SafeNoChange")+COUNTIFS('post-audit-active-backlog-statu'!$D$2:$D$6824,M207,'post-audit-active-backlog-statu'!$G$2:$G$6824,"PolicyResolvedNoChange")</f>
        <v>0</v>
      </c>
      <c r="Q207" s="6">
        <f>COUNTIFS('post-audit-active-backlog-statu'!$D$2:$D$6824,M207,'post-audit-active-backlog-statu'!$G$2:$G$6824,"BlocksOnlyThisDomain")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COUNTIF('post-audit-active-backlog-statu'!$D$2:$D$6824,M208)</f>
        <v>1</v>
      </c>
      <c r="O208" s="6">
        <f>COUNTIFS('post-audit-active-backlog-statu'!$D$2:$D$6824,M208,'post-audit-active-backlog-statu'!$G$2:$G$6824,"Fixed")</f>
        <v>0</v>
      </c>
      <c r="P208" s="6">
        <f>COUNTIFS('post-audit-active-backlog-statu'!$D$2:$D$6824,M208,'post-audit-active-backlog-statu'!$G$2:$G$6824,"ReviewedNoChange")+COUNTIFS('post-audit-active-backlog-statu'!$D$2:$D$6824,M208,'post-audit-active-backlog-statu'!$G$2:$G$6824,"SafeNoChange")+COUNTIFS('post-audit-active-backlog-statu'!$D$2:$D$6824,M208,'post-audit-active-backlog-statu'!$G$2:$G$6824,"PolicyResolvedNoChange")</f>
        <v>0</v>
      </c>
      <c r="Q208" s="6">
        <f>COUNTIFS('post-audit-active-backlog-statu'!$D$2:$D$6824,M208,'post-audit-active-backlog-statu'!$G$2:$G$6824,"BlocksOnlyThisDomain")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COUNTIF('post-audit-active-backlog-statu'!$D$2:$D$6824,M209)</f>
        <v>1</v>
      </c>
      <c r="O209" s="6">
        <f>COUNTIFS('post-audit-active-backlog-statu'!$D$2:$D$6824,M209,'post-audit-active-backlog-statu'!$G$2:$G$6824,"Fixed")</f>
        <v>1</v>
      </c>
      <c r="P209" s="6">
        <f>COUNTIFS('post-audit-active-backlog-statu'!$D$2:$D$6824,M209,'post-audit-active-backlog-statu'!$G$2:$G$6824,"ReviewedNoChange")+COUNTIFS('post-audit-active-backlog-statu'!$D$2:$D$6824,M209,'post-audit-active-backlog-statu'!$G$2:$G$6824,"SafeNoChange")+COUNTIFS('post-audit-active-backlog-statu'!$D$2:$D$6824,M209,'post-audit-active-backlog-statu'!$G$2:$G$6824,"PolicyResolvedNoChange")</f>
        <v>0</v>
      </c>
      <c r="Q209" s="6">
        <f>COUNTIFS('post-audit-active-backlog-statu'!$D$2:$D$6824,M209,'post-audit-active-backlog-statu'!$G$2:$G$6824,"BlocksOnlyThisDomain")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